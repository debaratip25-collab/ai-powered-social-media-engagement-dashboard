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ngagementData" sheetId="2" state="visible" r:id="rId4"/>
    <sheet name="KPI_Summary" sheetId="3" state="visible" r:id="rId5"/>
    <sheet name="Platform_Analysis" sheetId="4" state="visible" r:id="rId6"/>
    <sheet name="ContentTheme_Analysis" sheetId="5" state="visible" r:id="rId7"/>
    <sheet name="PostType_Analysis" sheetId="6" state="visible" r:id="rId8"/>
    <sheet name="PostingTime_Analysis" sheetId="7" state="visible" r:id="rId9"/>
    <sheet name="Hashtag_Performance" sheetId="8" state="visible" r:id="rId10"/>
    <sheet name="TopPosts_Analysis" sheetId="9" state="visible" r:id="rId11"/>
  </sheets>
  <definedNames>
    <definedName function="false" hidden="false" localSheetId="0" name="_xlnm.Print_Area" vbProcedure="false">Dashboard!$A$1:$N$75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<sst xmlns="http://schemas.openxmlformats.org/spreadsheetml/2006/main" count="1250" uniqueCount="368">
  <si>
    <t xml:space="preserve">AI-Powered Social Media Engagement Dashboard</t>
  </si>
  <si>
    <t xml:space="preserve">Engagement Analytics  |  Sentiment Intelligence  |  Content Performance  |  Brand Growth Insights</t>
  </si>
  <si>
    <t xml:space="preserve">Total Reach</t>
  </si>
  <si>
    <t xml:space="preserve">Total Impressions</t>
  </si>
  <si>
    <t xml:space="preserve">Avg Engagement Rate %</t>
  </si>
  <si>
    <t xml:space="preserve">Follower Growth</t>
  </si>
  <si>
    <t xml:space="preserve">Avg AI Content Score</t>
  </si>
  <si>
    <t xml:space="preserve">Platform Performance &amp; Engagement Trend</t>
  </si>
  <si>
    <t xml:space="preserve">Content Theme Performance &amp; Sentiment Distribution</t>
  </si>
  <si>
    <t xml:space="preserve">Best Posting Time &amp; Top Performing Posts</t>
  </si>
  <si>
    <t xml:space="preserve">Posting Time</t>
  </si>
  <si>
    <t xml:space="preserve">Avg Reach</t>
  </si>
  <si>
    <t xml:space="preserve">Rank</t>
  </si>
  <si>
    <t xml:space="preserve">Post ID</t>
  </si>
  <si>
    <t xml:space="preserve">Platform</t>
  </si>
  <si>
    <t xml:space="preserve">Theme</t>
  </si>
  <si>
    <t xml:space="preserve">Engagement Rate %</t>
  </si>
  <si>
    <t xml:space="preserve">AI-Generated Insights &amp; Recommendations</t>
  </si>
  <si>
    <t xml:space="preserve">1. Educational and Motivational content themes consistently show higher average engagement rates than purely Promotional posts — shift content mix toward value-first formats.</t>
  </si>
  <si>
    <t xml:space="preserve">2. Reels and Video formats outperform static Images on shares and saves, signaling stronger audience retention for short-form video.</t>
  </si>
  <si>
    <t xml:space="preserve">3. Posting between 5:00 PM and 9:00 PM correlates with the highest average reach, suggesting evening windows are optimal for scheduling.</t>
  </si>
  <si>
    <t xml:space="preserve">4. Instagram and LinkedIn show the strongest average engagement rate among the four tracked platforms; budget and content effort can be reallocated accordingly.</t>
  </si>
  <si>
    <t xml:space="preserve">5. Posts with a Sentiment Score above 0.6 (Positive) tend to align with higher AI Content Scores, reinforcing that emotionally resonant captions perform better.</t>
  </si>
  <si>
    <t xml:space="preserve">6. Hashtag sets combining brand-specific and analytics-focused tags show above-average reach, supporting continued use of structured 3-hashtag sets.</t>
  </si>
  <si>
    <t xml:space="preserve">7. Follower growth is highest on posts with strong save and share counts — prioritize 'save-worthy' educational carousels for top-of-funnel growth.</t>
  </si>
  <si>
    <t xml:space="preserve">Post Date</t>
  </si>
  <si>
    <t xml:space="preserve">Post Type</t>
  </si>
  <si>
    <t xml:space="preserve">Content Theme</t>
  </si>
  <si>
    <t xml:space="preserve">Caption</t>
  </si>
  <si>
    <t xml:space="preserve">Hashtags Used</t>
  </si>
  <si>
    <t xml:space="preserve">Impressions</t>
  </si>
  <si>
    <t xml:space="preserve">Reach</t>
  </si>
  <si>
    <t xml:space="preserve">Likes</t>
  </si>
  <si>
    <t xml:space="preserve">Comments</t>
  </si>
  <si>
    <t xml:space="preserve">Shares</t>
  </si>
  <si>
    <t xml:space="preserve">Saves</t>
  </si>
  <si>
    <t xml:space="preserve">Profile Visits</t>
  </si>
  <si>
    <t xml:space="preserve">Link Clicks</t>
  </si>
  <si>
    <t xml:space="preserve">Sentiment Score</t>
  </si>
  <si>
    <t xml:space="preserve">AI Content Score</t>
  </si>
  <si>
    <t xml:space="preserve">Best Posting Time</t>
  </si>
  <si>
    <t xml:space="preserve">Campaign Name</t>
  </si>
  <si>
    <t xml:space="preserve">Total Engagements</t>
  </si>
  <si>
    <t xml:space="preserve">Click-Through Rate %</t>
  </si>
  <si>
    <t xml:space="preserve">Sentiment Category</t>
  </si>
  <si>
    <t xml:space="preserve">Rank Key (Helper)</t>
  </si>
  <si>
    <t xml:space="preserve">POST001</t>
  </si>
  <si>
    <t xml:space="preserve">Instagram</t>
  </si>
  <si>
    <t xml:space="preserve">2024-05-05</t>
  </si>
  <si>
    <t xml:space="preserve">Reel</t>
  </si>
  <si>
    <t xml:space="preserve">Motivational</t>
  </si>
  <si>
    <t xml:space="preserve">This is why your hashtags aren't working</t>
  </si>
  <si>
    <t xml:space="preserve">#DigitalMarketing #SocialMedia #ContentStrategy</t>
  </si>
  <si>
    <t xml:space="preserve">7:00 PM</t>
  </si>
  <si>
    <t xml:space="preserve">Retargeting Campaign</t>
  </si>
  <si>
    <t xml:space="preserve">POST002</t>
  </si>
  <si>
    <t xml:space="preserve">LinkedIn</t>
  </si>
  <si>
    <t xml:space="preserve">2024-01-04</t>
  </si>
  <si>
    <t xml:space="preserve">Story</t>
  </si>
  <si>
    <t xml:space="preserve">Meet the team behind the content strategy 👋</t>
  </si>
  <si>
    <t xml:space="preserve">#MarketingAnalytics #ContentMarketing #Viral</t>
  </si>
  <si>
    <t xml:space="preserve">9:00 AM</t>
  </si>
  <si>
    <t xml:space="preserve">Brand Awareness Q1</t>
  </si>
  <si>
    <t xml:space="preserve">POST003</t>
  </si>
  <si>
    <t xml:space="preserve">Twitter/X</t>
  </si>
  <si>
    <t xml:space="preserve">2024-07-12</t>
  </si>
  <si>
    <t xml:space="preserve">Video</t>
  </si>
  <si>
    <t xml:space="preserve">Promotional</t>
  </si>
  <si>
    <t xml:space="preserve">We just hit 10K followers! Thank you for the love 🎉</t>
  </si>
  <si>
    <t xml:space="preserve">#AIMarketing #DataDriven #Analytics</t>
  </si>
  <si>
    <t xml:space="preserve">12:00 PM</t>
  </si>
  <si>
    <t xml:space="preserve">POST004</t>
  </si>
  <si>
    <t xml:space="preserve">Facebook</t>
  </si>
  <si>
    <t xml:space="preserve">2024-03-24</t>
  </si>
  <si>
    <t xml:space="preserve">Product Showcase</t>
  </si>
  <si>
    <t xml:space="preserve">Tips to write captions that convert, not just scroll</t>
  </si>
  <si>
    <t xml:space="preserve">#InfluencerMarketing #ROI #CampaignStrategy</t>
  </si>
  <si>
    <t xml:space="preserve">Summer Engagement Drive</t>
  </si>
  <si>
    <t xml:space="preserve">POST005</t>
  </si>
  <si>
    <t xml:space="preserve">2024-01-17</t>
  </si>
  <si>
    <t xml:space="preserve">User Generated Content</t>
  </si>
  <si>
    <t xml:space="preserve">#ContentCreator #InstagramMarketing #LinkedInTips</t>
  </si>
  <si>
    <t xml:space="preserve">Festive Season Campaign</t>
  </si>
  <si>
    <t xml:space="preserve">POST006</t>
  </si>
  <si>
    <t xml:space="preserve">2024-10-26</t>
  </si>
  <si>
    <t xml:space="preserve">Text Post</t>
  </si>
  <si>
    <t xml:space="preserve">Did you know? 80% of engagement happens within the first hour of posting</t>
  </si>
  <si>
    <t xml:space="preserve">1:00 PM</t>
  </si>
  <si>
    <t xml:space="preserve">Product Launch Wave 1</t>
  </si>
  <si>
    <t xml:space="preserve">POST007</t>
  </si>
  <si>
    <t xml:space="preserve">2024-09-27</t>
  </si>
  <si>
    <t xml:space="preserve">Event Highlight</t>
  </si>
  <si>
    <t xml:space="preserve">POST008</t>
  </si>
  <si>
    <t xml:space="preserve">2024-11-23</t>
  </si>
  <si>
    <t xml:space="preserve">#SocialMediaMarketing #GrowthHacking #Branding</t>
  </si>
  <si>
    <t xml:space="preserve">POST009</t>
  </si>
  <si>
    <t xml:space="preserve">2024-02-13</t>
  </si>
  <si>
    <t xml:space="preserve">Poll: which content format do you prefer?</t>
  </si>
  <si>
    <t xml:space="preserve">Lead Gen Campaign</t>
  </si>
  <si>
    <t xml:space="preserve">POST010</t>
  </si>
  <si>
    <t xml:space="preserve">2024-08-12</t>
  </si>
  <si>
    <t xml:space="preserve">POST011</t>
  </si>
  <si>
    <t xml:space="preserve">2024-09-20</t>
  </si>
  <si>
    <t xml:space="preserve">Carousel</t>
  </si>
  <si>
    <t xml:space="preserve">POST012</t>
  </si>
  <si>
    <t xml:space="preserve">2024-07-29</t>
  </si>
  <si>
    <t xml:space="preserve">Industry News</t>
  </si>
  <si>
    <t xml:space="preserve">Industry insight: social media trends to watch in 2025</t>
  </si>
  <si>
    <t xml:space="preserve">10:00 AM</t>
  </si>
  <si>
    <t xml:space="preserve">POST013</t>
  </si>
  <si>
    <t xml:space="preserve">2024-08-24</t>
  </si>
  <si>
    <t xml:space="preserve">Image</t>
  </si>
  <si>
    <t xml:space="preserve">Real talk: what consistent posting did for our brand in 6 months</t>
  </si>
  <si>
    <t xml:space="preserve">Organic Growth Sprint</t>
  </si>
  <si>
    <t xml:space="preserve">POST014</t>
  </si>
  <si>
    <t xml:space="preserve">2024-01-31</t>
  </si>
  <si>
    <t xml:space="preserve">POST015</t>
  </si>
  <si>
    <t xml:space="preserve">2024-01-30</t>
  </si>
  <si>
    <t xml:space="preserve">POST016</t>
  </si>
  <si>
    <t xml:space="preserve">2024-08-02</t>
  </si>
  <si>
    <t xml:space="preserve">This one change tripled our engagement rate. Screenshot this.</t>
  </si>
  <si>
    <t xml:space="preserve">#StartupMarketing #B2BMarketing #LeadGeneration</t>
  </si>
  <si>
    <t xml:space="preserve">6:00 PM</t>
  </si>
  <si>
    <t xml:space="preserve">POST017</t>
  </si>
  <si>
    <t xml:space="preserve">2024-02-07</t>
  </si>
  <si>
    <t xml:space="preserve">POST018</t>
  </si>
  <si>
    <t xml:space="preserve">2024-02-24</t>
  </si>
  <si>
    <t xml:space="preserve">Here's why your content isn't performing (and how to fix it)</t>
  </si>
  <si>
    <t xml:space="preserve">#MarketingTips #BrandGrowth #Engagement</t>
  </si>
  <si>
    <t xml:space="preserve">POST019</t>
  </si>
  <si>
    <t xml:space="preserve">2024-03-07</t>
  </si>
  <si>
    <t xml:space="preserve">POST020</t>
  </si>
  <si>
    <t xml:space="preserve">2024-06-06</t>
  </si>
  <si>
    <t xml:space="preserve">Educational</t>
  </si>
  <si>
    <t xml:space="preserve">POST021</t>
  </si>
  <si>
    <t xml:space="preserve">2024-04-01</t>
  </si>
  <si>
    <t xml:space="preserve">Community Building</t>
  </si>
  <si>
    <t xml:space="preserve">POST022</t>
  </si>
  <si>
    <t xml:space="preserve">2024-01-13</t>
  </si>
  <si>
    <t xml:space="preserve">Your questions answered: social media analytics edition</t>
  </si>
  <si>
    <t xml:space="preserve">8:00 AM</t>
  </si>
  <si>
    <t xml:space="preserve">POST023</t>
  </si>
  <si>
    <t xml:space="preserve">2024-01-20</t>
  </si>
  <si>
    <t xml:space="preserve">POST024</t>
  </si>
  <si>
    <t xml:space="preserve">2024-11-15</t>
  </si>
  <si>
    <t xml:space="preserve">POST025</t>
  </si>
  <si>
    <t xml:space="preserve">2024-07-26</t>
  </si>
  <si>
    <t xml:space="preserve">POST026</t>
  </si>
  <si>
    <t xml:space="preserve">2024-02-17</t>
  </si>
  <si>
    <t xml:space="preserve">POST027</t>
  </si>
  <si>
    <t xml:space="preserve">2024-05-04</t>
  </si>
  <si>
    <t xml:space="preserve">Behind the scenes of our latest campaign shoot</t>
  </si>
  <si>
    <t xml:space="preserve">5:00 PM</t>
  </si>
  <si>
    <t xml:space="preserve">POST028</t>
  </si>
  <si>
    <t xml:space="preserve">2024-10-07</t>
  </si>
  <si>
    <t xml:space="preserve">POST029</t>
  </si>
  <si>
    <t xml:space="preserve">2024-06-20</t>
  </si>
  <si>
    <t xml:space="preserve">POST030</t>
  </si>
  <si>
    <t xml:space="preserve">POST031</t>
  </si>
  <si>
    <t xml:space="preserve">2024-01-15</t>
  </si>
  <si>
    <t xml:space="preserve">Case study: how we grew a brand from 0 to 50K organically</t>
  </si>
  <si>
    <t xml:space="preserve">POST032</t>
  </si>
  <si>
    <t xml:space="preserve">2024-01-26</t>
  </si>
  <si>
    <t xml:space="preserve">Behind the Scenes</t>
  </si>
  <si>
    <t xml:space="preserve">5 marketing hacks that 10x'd our reach this month 🚀</t>
  </si>
  <si>
    <t xml:space="preserve">POST033</t>
  </si>
  <si>
    <t xml:space="preserve">2024-01-16</t>
  </si>
  <si>
    <t xml:space="preserve">Your brand story matters. Here's how to tell it right.</t>
  </si>
  <si>
    <t xml:space="preserve">POST034</t>
  </si>
  <si>
    <t xml:space="preserve">2024-10-23</t>
  </si>
  <si>
    <t xml:space="preserve">POST035</t>
  </si>
  <si>
    <t xml:space="preserve">2024-12-04</t>
  </si>
  <si>
    <t xml:space="preserve">POST036</t>
  </si>
  <si>
    <t xml:space="preserve">2024-10-30</t>
  </si>
  <si>
    <t xml:space="preserve">Breaking down the algorithm: what actually works</t>
  </si>
  <si>
    <t xml:space="preserve">POST037</t>
  </si>
  <si>
    <t xml:space="preserve">2024-06-30</t>
  </si>
  <si>
    <t xml:space="preserve">POST038</t>
  </si>
  <si>
    <t xml:space="preserve">2024-04-23</t>
  </si>
  <si>
    <t xml:space="preserve">POST039</t>
  </si>
  <si>
    <t xml:space="preserve">2024-03-02</t>
  </si>
  <si>
    <t xml:space="preserve">We tried posting 3x a day for 30 days. Here's what happened.</t>
  </si>
  <si>
    <t xml:space="preserve">POST040</t>
  </si>
  <si>
    <t xml:space="preserve">The future of AI in digital marketing – thread 🧵</t>
  </si>
  <si>
    <t xml:space="preserve">POST041</t>
  </si>
  <si>
    <t xml:space="preserve">2024-06-23</t>
  </si>
  <si>
    <t xml:space="preserve">POST042</t>
  </si>
  <si>
    <t xml:space="preserve">2024-10-12</t>
  </si>
  <si>
    <t xml:space="preserve">POST043</t>
  </si>
  <si>
    <t xml:space="preserve">2024-05-15</t>
  </si>
  <si>
    <t xml:space="preserve">POST044</t>
  </si>
  <si>
    <t xml:space="preserve">2024-02-06</t>
  </si>
  <si>
    <t xml:space="preserve">POST045</t>
  </si>
  <si>
    <t xml:space="preserve">2024-08-27</t>
  </si>
  <si>
    <t xml:space="preserve">POST046</t>
  </si>
  <si>
    <t xml:space="preserve">2024-12-10</t>
  </si>
  <si>
    <t xml:space="preserve">POST047</t>
  </si>
  <si>
    <t xml:space="preserve">2024-03-23</t>
  </si>
  <si>
    <t xml:space="preserve">POST048</t>
  </si>
  <si>
    <t xml:space="preserve">2024-09-22</t>
  </si>
  <si>
    <t xml:space="preserve">POST049</t>
  </si>
  <si>
    <t xml:space="preserve">2024-10-09</t>
  </si>
  <si>
    <t xml:space="preserve">POST050</t>
  </si>
  <si>
    <t xml:space="preserve">2024-07-15</t>
  </si>
  <si>
    <t xml:space="preserve">POST051</t>
  </si>
  <si>
    <t xml:space="preserve">POST052</t>
  </si>
  <si>
    <t xml:space="preserve">2024-03-05</t>
  </si>
  <si>
    <t xml:space="preserve">POST053</t>
  </si>
  <si>
    <t xml:space="preserve">2024-11-28</t>
  </si>
  <si>
    <t xml:space="preserve">POST054</t>
  </si>
  <si>
    <t xml:space="preserve">2024-08-15</t>
  </si>
  <si>
    <t xml:space="preserve">POST055</t>
  </si>
  <si>
    <t xml:space="preserve">2024-11-13</t>
  </si>
  <si>
    <t xml:space="preserve">POST056</t>
  </si>
  <si>
    <t xml:space="preserve">Save this post if you're a content creator!</t>
  </si>
  <si>
    <t xml:space="preserve">POST057</t>
  </si>
  <si>
    <t xml:space="preserve">2024-10-16</t>
  </si>
  <si>
    <t xml:space="preserve">POST058</t>
  </si>
  <si>
    <t xml:space="preserve">2024-01-18</t>
  </si>
  <si>
    <t xml:space="preserve">POST059</t>
  </si>
  <si>
    <t xml:space="preserve">2024-02-28</t>
  </si>
  <si>
    <t xml:space="preserve">POST060</t>
  </si>
  <si>
    <t xml:space="preserve">POST061</t>
  </si>
  <si>
    <t xml:space="preserve">2024-02-29</t>
  </si>
  <si>
    <t xml:space="preserve">POST062</t>
  </si>
  <si>
    <t xml:space="preserve">2024-05-23</t>
  </si>
  <si>
    <t xml:space="preserve">POST063</t>
  </si>
  <si>
    <t xml:space="preserve">2024-02-16</t>
  </si>
  <si>
    <t xml:space="preserve">POST064</t>
  </si>
  <si>
    <t xml:space="preserve">2024-05-21</t>
  </si>
  <si>
    <t xml:space="preserve">POST065</t>
  </si>
  <si>
    <t xml:space="preserve">2024-08-03</t>
  </si>
  <si>
    <t xml:space="preserve">POST066</t>
  </si>
  <si>
    <t xml:space="preserve">2024-07-24</t>
  </si>
  <si>
    <t xml:space="preserve">POST067</t>
  </si>
  <si>
    <t xml:space="preserve">2024-02-20</t>
  </si>
  <si>
    <t xml:space="preserve">POST068</t>
  </si>
  <si>
    <t xml:space="preserve">2024-12-17</t>
  </si>
  <si>
    <t xml:space="preserve">POST069</t>
  </si>
  <si>
    <t xml:space="preserve">2024-01-27</t>
  </si>
  <si>
    <t xml:space="preserve">POST070</t>
  </si>
  <si>
    <t xml:space="preserve">2024-11-07</t>
  </si>
  <si>
    <t xml:space="preserve">POST071</t>
  </si>
  <si>
    <t xml:space="preserve">2024-07-11</t>
  </si>
  <si>
    <t xml:space="preserve">POST072</t>
  </si>
  <si>
    <t xml:space="preserve">2024-07-31</t>
  </si>
  <si>
    <t xml:space="preserve">POST073</t>
  </si>
  <si>
    <t xml:space="preserve">2024-04-18</t>
  </si>
  <si>
    <t xml:space="preserve">POST074</t>
  </si>
  <si>
    <t xml:space="preserve">2024-08-23</t>
  </si>
  <si>
    <t xml:space="preserve">Our new product launch is HERE – swipe to see the magic ✨</t>
  </si>
  <si>
    <t xml:space="preserve">POST075</t>
  </si>
  <si>
    <t xml:space="preserve">2024-08-11</t>
  </si>
  <si>
    <t xml:space="preserve">POST076</t>
  </si>
  <si>
    <t xml:space="preserve">2024-03-15</t>
  </si>
  <si>
    <t xml:space="preserve">POST077</t>
  </si>
  <si>
    <t xml:space="preserve">2024-08-14</t>
  </si>
  <si>
    <t xml:space="preserve">POST078</t>
  </si>
  <si>
    <t xml:space="preserve">2024-08-18</t>
  </si>
  <si>
    <t xml:space="preserve">POST079</t>
  </si>
  <si>
    <t xml:space="preserve">POST080</t>
  </si>
  <si>
    <t xml:space="preserve">2024-12-02</t>
  </si>
  <si>
    <t xml:space="preserve">POST081</t>
  </si>
  <si>
    <t xml:space="preserve">2024-03-06</t>
  </si>
  <si>
    <t xml:space="preserve">POST082</t>
  </si>
  <si>
    <t xml:space="preserve">2024-03-11</t>
  </si>
  <si>
    <t xml:space="preserve">POST083</t>
  </si>
  <si>
    <t xml:space="preserve">2024-12-12</t>
  </si>
  <si>
    <t xml:space="preserve">POST084</t>
  </si>
  <si>
    <t xml:space="preserve">POST085</t>
  </si>
  <si>
    <t xml:space="preserve">2024-09-19</t>
  </si>
  <si>
    <t xml:space="preserve">POST086</t>
  </si>
  <si>
    <t xml:space="preserve">2024-06-12</t>
  </si>
  <si>
    <t xml:space="preserve">POST087</t>
  </si>
  <si>
    <t xml:space="preserve">2024-04-20</t>
  </si>
  <si>
    <t xml:space="preserve">POST088</t>
  </si>
  <si>
    <t xml:space="preserve">2024-11-19</t>
  </si>
  <si>
    <t xml:space="preserve">POST089</t>
  </si>
  <si>
    <t xml:space="preserve">2024-11-21</t>
  </si>
  <si>
    <t xml:space="preserve">POST090</t>
  </si>
  <si>
    <t xml:space="preserve">2024-11-25</t>
  </si>
  <si>
    <t xml:space="preserve">POST091</t>
  </si>
  <si>
    <t xml:space="preserve">2024-06-07</t>
  </si>
  <si>
    <t xml:space="preserve">POST092</t>
  </si>
  <si>
    <t xml:space="preserve">2024-07-16</t>
  </si>
  <si>
    <t xml:space="preserve">POST093</t>
  </si>
  <si>
    <t xml:space="preserve">POST094</t>
  </si>
  <si>
    <t xml:space="preserve">POST095</t>
  </si>
  <si>
    <t xml:space="preserve">2024-09-28</t>
  </si>
  <si>
    <t xml:space="preserve">POST096</t>
  </si>
  <si>
    <t xml:space="preserve">2024-12-21</t>
  </si>
  <si>
    <t xml:space="preserve">POST097</t>
  </si>
  <si>
    <t xml:space="preserve">2024-03-03</t>
  </si>
  <si>
    <t xml:space="preserve">POST098</t>
  </si>
  <si>
    <t xml:space="preserve">2024-09-26</t>
  </si>
  <si>
    <t xml:space="preserve">POST099</t>
  </si>
  <si>
    <t xml:space="preserve">2024-06-04</t>
  </si>
  <si>
    <t xml:space="preserve">POST100</t>
  </si>
  <si>
    <t xml:space="preserve">2024-10-15</t>
  </si>
  <si>
    <t xml:space="preserve">POST101</t>
  </si>
  <si>
    <t xml:space="preserve">2024-06-01</t>
  </si>
  <si>
    <t xml:space="preserve">POST102</t>
  </si>
  <si>
    <t xml:space="preserve">POST103</t>
  </si>
  <si>
    <t xml:space="preserve">2024-09-12</t>
  </si>
  <si>
    <t xml:space="preserve">POST104</t>
  </si>
  <si>
    <t xml:space="preserve">2024-05-26</t>
  </si>
  <si>
    <t xml:space="preserve">POST105</t>
  </si>
  <si>
    <t xml:space="preserve">2024-10-08</t>
  </si>
  <si>
    <t xml:space="preserve">POST106</t>
  </si>
  <si>
    <t xml:space="preserve">POST107</t>
  </si>
  <si>
    <t xml:space="preserve">2024-07-07</t>
  </si>
  <si>
    <t xml:space="preserve">POST108</t>
  </si>
  <si>
    <t xml:space="preserve">2024-03-16</t>
  </si>
  <si>
    <t xml:space="preserve">POST109</t>
  </si>
  <si>
    <t xml:space="preserve">2024-12-05</t>
  </si>
  <si>
    <t xml:space="preserve">POST110</t>
  </si>
  <si>
    <t xml:space="preserve">2024-12-19</t>
  </si>
  <si>
    <t xml:space="preserve">POST111</t>
  </si>
  <si>
    <t xml:space="preserve">2024-06-26</t>
  </si>
  <si>
    <t xml:space="preserve">POST112</t>
  </si>
  <si>
    <t xml:space="preserve">POST113</t>
  </si>
  <si>
    <t xml:space="preserve">2024-02-15</t>
  </si>
  <si>
    <t xml:space="preserve">POST114</t>
  </si>
  <si>
    <t xml:space="preserve">2024-10-17</t>
  </si>
  <si>
    <t xml:space="preserve">POST115</t>
  </si>
  <si>
    <t xml:space="preserve">2024-01-08</t>
  </si>
  <si>
    <t xml:space="preserve">POST116</t>
  </si>
  <si>
    <t xml:space="preserve">2024-05-13</t>
  </si>
  <si>
    <t xml:space="preserve">POST117</t>
  </si>
  <si>
    <t xml:space="preserve">POST118</t>
  </si>
  <si>
    <t xml:space="preserve">2024-05-06</t>
  </si>
  <si>
    <t xml:space="preserve">POST119</t>
  </si>
  <si>
    <t xml:space="preserve">POST120</t>
  </si>
  <si>
    <t xml:space="preserve">2024-01-02</t>
  </si>
  <si>
    <t xml:space="preserve">Key Performance Indicator Summary</t>
  </si>
  <si>
    <t xml:space="preserve">KPI Metric</t>
  </si>
  <si>
    <t xml:space="preserve">Value</t>
  </si>
  <si>
    <t xml:space="preserve">Total Posts Analyzed</t>
  </si>
  <si>
    <t xml:space="preserve">Avg Click-Through Rate %</t>
  </si>
  <si>
    <t xml:space="preserve">Total Follower Growth</t>
  </si>
  <si>
    <t xml:space="preserve">Avg Sentiment Score</t>
  </si>
  <si>
    <t xml:space="preserve">Total Likes</t>
  </si>
  <si>
    <t xml:space="preserve">Total Comments</t>
  </si>
  <si>
    <t xml:space="preserve">Total Shares</t>
  </si>
  <si>
    <t xml:space="preserve">Total Saves</t>
  </si>
  <si>
    <t xml:space="preserve">Total Profile Visits</t>
  </si>
  <si>
    <t xml:space="preserve">Total Link Clicks</t>
  </si>
  <si>
    <t xml:space="preserve">Sentiment Distribution</t>
  </si>
  <si>
    <t xml:space="preserve">Sentiment</t>
  </si>
  <si>
    <t xml:space="preserve">Post Count</t>
  </si>
  <si>
    <t xml:space="preserve">% of Total</t>
  </si>
  <si>
    <t xml:space="preserve">Positive</t>
  </si>
  <si>
    <t xml:space="preserve">Neutral</t>
  </si>
  <si>
    <t xml:space="preserve">Negative</t>
  </si>
  <si>
    <t xml:space="preserve">Platform Performance Analysis</t>
  </si>
  <si>
    <t xml:space="preserve">Engagement metrics broken down by social media platform</t>
  </si>
  <si>
    <t xml:space="preserve">Content Theme Performance Analysis</t>
  </si>
  <si>
    <t xml:space="preserve">Identifying which content themes drive the strongest engagement</t>
  </si>
  <si>
    <t xml:space="preserve">Post Type Performance Analysis</t>
  </si>
  <si>
    <t xml:space="preserve">Comparing engagement outcomes across post formats (Reel, Image, Carousel, Story, Video, Text)</t>
  </si>
  <si>
    <t xml:space="preserve">Best Posting Time Analysis</t>
  </si>
  <si>
    <t xml:space="preserve">Average reach and engagement rate by posting time slot</t>
  </si>
  <si>
    <t xml:space="preserve">Avg Impressions</t>
  </si>
  <si>
    <t xml:space="preserve">Hashtag Performance Table</t>
  </si>
  <si>
    <t xml:space="preserve">Engagement performance grouped by hashtag set used</t>
  </si>
  <si>
    <t xml:space="preserve">Top Posts Analysis</t>
  </si>
  <si>
    <t xml:space="preserve">Top 10 highest-performing posts ranked by Engagement Rate %</t>
  </si>
  <si>
    <t xml:space="preserve">Bottom 10 Lowest-Performing Posts (Engagement Rate %)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</si>
</sst>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\%"/>
    <numFmt numFmtId="167" formatCode="0.0"/>
    <numFmt numFmtId="168" formatCode="0.00"/>
    <numFmt numFmtId="169" formatCode="0.0000000"/>
    <numFmt numFmtId="170" formatCode="0"/>
    <numFmt numFmtId="171" formatCode="0.0%"/>
    <numFmt numFmtId="172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i val="true"/>
      <sz val="11"/>
      <color rgb="FFD7F0EF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b val="true"/>
      <sz val="10"/>
      <color rgb="FF666666"/>
      <name val="Calibri"/>
      <family val="0"/>
      <charset val="1"/>
    </font>
    <font>
      <b val="true"/>
      <sz val="20"/>
      <color rgb="FF0E7C7B"/>
      <name val="Calibri"/>
      <family val="0"/>
      <charset val="1"/>
    </font>
    <font>
      <b val="true"/>
      <sz val="20"/>
      <color rgb="FFE8702A"/>
      <name val="Calibri"/>
      <family val="0"/>
      <charset val="1"/>
    </font>
    <font>
      <b val="true"/>
      <sz val="20"/>
      <color rgb="FF1E8E5A"/>
      <name val="Calibri"/>
      <family val="0"/>
      <charset val="1"/>
    </font>
    <font>
      <b val="true"/>
      <sz val="20"/>
      <color rgb="FF1F2A44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.5"/>
      <color rgb="FF333333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F2A44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0"/>
      <color rgb="FF444444"/>
      <name val="Calibri"/>
      <family val="0"/>
      <charset val="1"/>
    </font>
    <font>
      <b val="true"/>
      <sz val="11"/>
      <color rgb="FF1F2A44"/>
      <name val="Calibri"/>
      <family val="0"/>
      <charset val="1"/>
    </font>
    <font>
      <b val="true"/>
      <sz val="12"/>
      <color rgb="FF1F2A44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333333"/>
      </patternFill>
    </fill>
    <fill>
      <patternFill patternType="solid">
        <fgColor rgb="FFFBFBFB"/>
        <bgColor rgb="FFFFFFFF"/>
      </patternFill>
    </fill>
    <fill>
      <patternFill patternType="solid">
        <fgColor rgb="FF0E7C7B"/>
        <bgColor rgb="FF008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>
        <color rgb="FF0E7C7B"/>
      </left>
      <right style="medium">
        <color rgb="FF0E7C7B"/>
      </right>
      <top style="medium">
        <color rgb="FF0E7C7B"/>
      </top>
      <bottom/>
      <diagonal/>
    </border>
    <border diagonalUp="false" diagonalDown="false">
      <left style="medium">
        <color rgb="FFE8702A"/>
      </left>
      <right style="medium">
        <color rgb="FFE8702A"/>
      </right>
      <top style="medium">
        <color rgb="FFE8702A"/>
      </top>
      <bottom/>
      <diagonal/>
    </border>
    <border diagonalUp="false" diagonalDown="false">
      <left style="medium">
        <color rgb="FF1E8E5A"/>
      </left>
      <right style="medium">
        <color rgb="FF1E8E5A"/>
      </right>
      <top style="medium">
        <color rgb="FF1E8E5A"/>
      </top>
      <bottom/>
      <diagonal/>
    </border>
    <border diagonalUp="false" diagonalDown="false">
      <left style="medium">
        <color rgb="FF1F2A44"/>
      </left>
      <right style="medium">
        <color rgb="FF1F2A44"/>
      </right>
      <top style="medium">
        <color rgb="FF1F2A44"/>
      </top>
      <bottom/>
      <diagonal/>
    </border>
    <border diagonalUp="false" diagonalDown="false">
      <left/>
      <right style="medium">
        <color rgb="FF0E7C7B"/>
      </right>
      <top/>
      <bottom style="medium">
        <color rgb="FF0E7C7B"/>
      </bottom>
      <diagonal/>
    </border>
    <border diagonalUp="false" diagonalDown="false">
      <left/>
      <right style="medium">
        <color rgb="FFE8702A"/>
      </right>
      <top/>
      <bottom style="medium">
        <color rgb="FFE8702A"/>
      </bottom>
      <diagonal/>
    </border>
    <border diagonalUp="false" diagonalDown="false">
      <left/>
      <right style="medium">
        <color rgb="FF1E8E5A"/>
      </right>
      <top/>
      <bottom style="medium">
        <color rgb="FF1E8E5A"/>
      </bottom>
      <diagonal/>
    </border>
    <border diagonalUp="false" diagonalDown="false">
      <left/>
      <right style="medium">
        <color rgb="FF1F2A44"/>
      </right>
      <top/>
      <bottom style="medium">
        <color rgb="FF1F2A44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CCCCC"/>
      <rgbColor rgb="FF878787"/>
      <rgbColor rgb="FF9999FF"/>
      <rgbColor rgb="FF993366"/>
      <rgbColor rgb="FFFBFBFB"/>
      <rgbColor rgb="FFD7F0EF"/>
      <rgbColor rgb="FF660066"/>
      <rgbColor rgb="FFE74C3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2C94C"/>
      <rgbColor rgb="FFFF9900"/>
      <rgbColor rgb="FFE8702A"/>
      <rgbColor rgb="FF666666"/>
      <rgbColor rgb="FF888888"/>
      <rgbColor rgb="FF1F2A44"/>
      <rgbColor rgb="FF1E8E5A"/>
      <rgbColor rgb="FF003300"/>
      <rgbColor rgb="FF44444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Engagement Rate %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Platform_Analysis!E4</c:f>
              <c:strCache>
                <c:ptCount val="1"/>
                <c:pt idx="0">
                  <c:v>Avg Engagement Rate %</c:v>
                </c:pt>
              </c:strCache>
            </c:strRef>
          </c:tx>
          <c:spPr>
            <a:solidFill>
              <a:srgbClr val="0e7c7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Platform_Analysis!$A$5:$A$8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Twitter/X</c:v>
                </c:pt>
              </c:strCache>
            </c:strRef>
          </c:cat>
          <c:val>
            <c:numRef>
              <c:f>Platform_Analysis!$E$5:$E$8</c:f>
              <c:numCache>
                <c:formatCode>General</c:formatCode>
                <c:ptCount val="4"/>
                <c:pt idx="0">
                  <c:v>13.32</c:v>
                </c:pt>
                <c:pt idx="1">
                  <c:v>11.17</c:v>
                </c:pt>
                <c:pt idx="2">
                  <c:v>11.44</c:v>
                </c:pt>
                <c:pt idx="3">
                  <c:v>9.37</c:v>
                </c:pt>
              </c:numCache>
            </c:numRef>
          </c:val>
        </c:ser>
        <c:gapWidth val="150"/>
        <c:overlap val="0"/>
        <c:axId val="77935392"/>
        <c:axId val="99305706"/>
      </c:barChart>
      <c:catAx>
        <c:axId val="779353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Platform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05706"/>
        <c:crosses val="autoZero"/>
        <c:auto val="1"/>
        <c:lblAlgn val="ctr"/>
        <c:lblOffset val="100"/>
        <c:noMultiLvlLbl val="0"/>
      </c:catAx>
      <c:valAx>
        <c:axId val="993057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Engagement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353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Reach Trend Across Posts (Chronological Sample)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EngagementData!I1</c:f>
              <c:strCache>
                <c:ptCount val="1"/>
                <c:pt idx="0">
                  <c:v>Reach</c:v>
                </c:pt>
              </c:strCache>
            </c:strRef>
          </c:tx>
          <c:spPr>
            <a:solidFill>
              <a:srgbClr val="e8702a"/>
            </a:solidFill>
            <a:ln w="20160">
              <a:solidFill>
                <a:srgbClr val="e8702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EngagementData!$I$2:$I$121</c:f>
              <c:numCache>
                <c:formatCode>#,##0</c:formatCode>
                <c:ptCount val="120"/>
                <c:pt idx="0">
                  <c:v>18203</c:v>
                </c:pt>
                <c:pt idx="1">
                  <c:v>17031</c:v>
                </c:pt>
                <c:pt idx="2">
                  <c:v>8464</c:v>
                </c:pt>
                <c:pt idx="3">
                  <c:v>32842</c:v>
                </c:pt>
                <c:pt idx="4">
                  <c:v>28722</c:v>
                </c:pt>
                <c:pt idx="5">
                  <c:v>47239</c:v>
                </c:pt>
                <c:pt idx="6">
                  <c:v>28986</c:v>
                </c:pt>
                <c:pt idx="7">
                  <c:v>49852</c:v>
                </c:pt>
                <c:pt idx="8">
                  <c:v>51820</c:v>
                </c:pt>
                <c:pt idx="9">
                  <c:v>47528</c:v>
                </c:pt>
                <c:pt idx="10">
                  <c:v>20713</c:v>
                </c:pt>
                <c:pt idx="11">
                  <c:v>50744</c:v>
                </c:pt>
                <c:pt idx="12">
                  <c:v>27816</c:v>
                </c:pt>
                <c:pt idx="13">
                  <c:v>15317</c:v>
                </c:pt>
                <c:pt idx="14">
                  <c:v>5854</c:v>
                </c:pt>
                <c:pt idx="15">
                  <c:v>63564</c:v>
                </c:pt>
                <c:pt idx="16">
                  <c:v>44184</c:v>
                </c:pt>
                <c:pt idx="17">
                  <c:v>44158</c:v>
                </c:pt>
                <c:pt idx="18">
                  <c:v>71740</c:v>
                </c:pt>
                <c:pt idx="19">
                  <c:v>40406</c:v>
                </c:pt>
                <c:pt idx="20">
                  <c:v>35343</c:v>
                </c:pt>
                <c:pt idx="21">
                  <c:v>53505</c:v>
                </c:pt>
                <c:pt idx="22">
                  <c:v>11450</c:v>
                </c:pt>
                <c:pt idx="23">
                  <c:v>31941</c:v>
                </c:pt>
                <c:pt idx="24">
                  <c:v>58663</c:v>
                </c:pt>
                <c:pt idx="25">
                  <c:v>24272</c:v>
                </c:pt>
                <c:pt idx="26">
                  <c:v>15565</c:v>
                </c:pt>
                <c:pt idx="27">
                  <c:v>49105</c:v>
                </c:pt>
                <c:pt idx="28">
                  <c:v>35500</c:v>
                </c:pt>
                <c:pt idx="29">
                  <c:v>51507</c:v>
                </c:pt>
                <c:pt idx="30">
                  <c:v>34148</c:v>
                </c:pt>
                <c:pt idx="31">
                  <c:v>23628</c:v>
                </c:pt>
                <c:pt idx="32">
                  <c:v>20679</c:v>
                </c:pt>
                <c:pt idx="33">
                  <c:v>4031</c:v>
                </c:pt>
                <c:pt idx="34">
                  <c:v>28574</c:v>
                </c:pt>
                <c:pt idx="35">
                  <c:v>23719</c:v>
                </c:pt>
                <c:pt idx="36">
                  <c:v>23059</c:v>
                </c:pt>
                <c:pt idx="37">
                  <c:v>41289</c:v>
                </c:pt>
                <c:pt idx="38">
                  <c:v>17239</c:v>
                </c:pt>
                <c:pt idx="39">
                  <c:v>22789</c:v>
                </c:pt>
                <c:pt idx="40">
                  <c:v>21548</c:v>
                </c:pt>
                <c:pt idx="41">
                  <c:v>41021</c:v>
                </c:pt>
                <c:pt idx="42">
                  <c:v>50579</c:v>
                </c:pt>
                <c:pt idx="43">
                  <c:v>56792</c:v>
                </c:pt>
                <c:pt idx="44">
                  <c:v>58842</c:v>
                </c:pt>
                <c:pt idx="45">
                  <c:v>26619</c:v>
                </c:pt>
                <c:pt idx="46">
                  <c:v>30124</c:v>
                </c:pt>
                <c:pt idx="47">
                  <c:v>36043</c:v>
                </c:pt>
                <c:pt idx="48">
                  <c:v>31774</c:v>
                </c:pt>
                <c:pt idx="49">
                  <c:v>21889</c:v>
                </c:pt>
                <c:pt idx="50">
                  <c:v>48230</c:v>
                </c:pt>
                <c:pt idx="51">
                  <c:v>56535</c:v>
                </c:pt>
                <c:pt idx="52">
                  <c:v>9688</c:v>
                </c:pt>
                <c:pt idx="53">
                  <c:v>17669</c:v>
                </c:pt>
                <c:pt idx="54">
                  <c:v>56648</c:v>
                </c:pt>
                <c:pt idx="55">
                  <c:v>43241</c:v>
                </c:pt>
                <c:pt idx="56">
                  <c:v>71602</c:v>
                </c:pt>
                <c:pt idx="57">
                  <c:v>51084</c:v>
                </c:pt>
                <c:pt idx="58">
                  <c:v>52752</c:v>
                </c:pt>
                <c:pt idx="59">
                  <c:v>40984</c:v>
                </c:pt>
                <c:pt idx="60">
                  <c:v>11170</c:v>
                </c:pt>
                <c:pt idx="61">
                  <c:v>4382</c:v>
                </c:pt>
                <c:pt idx="62">
                  <c:v>54226</c:v>
                </c:pt>
                <c:pt idx="63">
                  <c:v>17317</c:v>
                </c:pt>
                <c:pt idx="64">
                  <c:v>41152</c:v>
                </c:pt>
                <c:pt idx="65">
                  <c:v>43363</c:v>
                </c:pt>
                <c:pt idx="66">
                  <c:v>54624</c:v>
                </c:pt>
                <c:pt idx="67">
                  <c:v>36296</c:v>
                </c:pt>
                <c:pt idx="68">
                  <c:v>28620</c:v>
                </c:pt>
                <c:pt idx="69">
                  <c:v>70076</c:v>
                </c:pt>
                <c:pt idx="70">
                  <c:v>38783</c:v>
                </c:pt>
                <c:pt idx="71">
                  <c:v>22929</c:v>
                </c:pt>
                <c:pt idx="72">
                  <c:v>15185</c:v>
                </c:pt>
                <c:pt idx="73">
                  <c:v>9465</c:v>
                </c:pt>
                <c:pt idx="74">
                  <c:v>52728</c:v>
                </c:pt>
                <c:pt idx="75">
                  <c:v>21351</c:v>
                </c:pt>
                <c:pt idx="76">
                  <c:v>53995</c:v>
                </c:pt>
                <c:pt idx="77">
                  <c:v>56980</c:v>
                </c:pt>
                <c:pt idx="78">
                  <c:v>49612</c:v>
                </c:pt>
                <c:pt idx="79">
                  <c:v>65362</c:v>
                </c:pt>
                <c:pt idx="80">
                  <c:v>67968</c:v>
                </c:pt>
                <c:pt idx="81">
                  <c:v>12499</c:v>
                </c:pt>
                <c:pt idx="82">
                  <c:v>27440</c:v>
                </c:pt>
                <c:pt idx="83">
                  <c:v>21872</c:v>
                </c:pt>
                <c:pt idx="84">
                  <c:v>16636</c:v>
                </c:pt>
                <c:pt idx="85">
                  <c:v>11614</c:v>
                </c:pt>
                <c:pt idx="86">
                  <c:v>15076</c:v>
                </c:pt>
                <c:pt idx="87">
                  <c:v>49890</c:v>
                </c:pt>
                <c:pt idx="88">
                  <c:v>44080</c:v>
                </c:pt>
                <c:pt idx="89">
                  <c:v>19537</c:v>
                </c:pt>
                <c:pt idx="90">
                  <c:v>46228</c:v>
                </c:pt>
                <c:pt idx="91">
                  <c:v>38685</c:v>
                </c:pt>
                <c:pt idx="92">
                  <c:v>25838</c:v>
                </c:pt>
                <c:pt idx="93">
                  <c:v>70891</c:v>
                </c:pt>
                <c:pt idx="94">
                  <c:v>33200</c:v>
                </c:pt>
                <c:pt idx="95">
                  <c:v>40191</c:v>
                </c:pt>
                <c:pt idx="96">
                  <c:v>21928</c:v>
                </c:pt>
                <c:pt idx="97">
                  <c:v>43209</c:v>
                </c:pt>
                <c:pt idx="98">
                  <c:v>13816</c:v>
                </c:pt>
                <c:pt idx="99">
                  <c:v>5502</c:v>
                </c:pt>
                <c:pt idx="100">
                  <c:v>34854</c:v>
                </c:pt>
                <c:pt idx="101">
                  <c:v>22895</c:v>
                </c:pt>
                <c:pt idx="102">
                  <c:v>47589</c:v>
                </c:pt>
                <c:pt idx="103">
                  <c:v>39691</c:v>
                </c:pt>
                <c:pt idx="104">
                  <c:v>30438</c:v>
                </c:pt>
                <c:pt idx="105">
                  <c:v>35723</c:v>
                </c:pt>
                <c:pt idx="106">
                  <c:v>33783</c:v>
                </c:pt>
                <c:pt idx="107">
                  <c:v>56490</c:v>
                </c:pt>
                <c:pt idx="108">
                  <c:v>45431</c:v>
                </c:pt>
                <c:pt idx="109">
                  <c:v>65423</c:v>
                </c:pt>
                <c:pt idx="110">
                  <c:v>44421</c:v>
                </c:pt>
                <c:pt idx="111">
                  <c:v>9862</c:v>
                </c:pt>
                <c:pt idx="112">
                  <c:v>62833</c:v>
                </c:pt>
                <c:pt idx="113">
                  <c:v>46870</c:v>
                </c:pt>
                <c:pt idx="114">
                  <c:v>35964</c:v>
                </c:pt>
                <c:pt idx="115">
                  <c:v>32134</c:v>
                </c:pt>
                <c:pt idx="116">
                  <c:v>55707</c:v>
                </c:pt>
                <c:pt idx="117">
                  <c:v>70400</c:v>
                </c:pt>
                <c:pt idx="118">
                  <c:v>55453</c:v>
                </c:pt>
                <c:pt idx="119">
                  <c:v>21748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267378"/>
        <c:axId val="64902109"/>
      </c:lineChart>
      <c:catAx>
        <c:axId val="162673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Post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02109"/>
        <c:crosses val="autoZero"/>
        <c:auto val="1"/>
        <c:lblAlgn val="ctr"/>
        <c:lblOffset val="100"/>
        <c:noMultiLvlLbl val="0"/>
      </c:catAx>
      <c:valAx>
        <c:axId val="64902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Reach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673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Engagement Rate % by Content Theme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ContentTheme_Analysis!C4</c:f>
              <c:strCache>
                <c:ptCount val="1"/>
                <c:pt idx="0">
                  <c:v>Avg Engagement Rate %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ContentTheme_Analysis!$A$5:$A$12</c:f>
              <c:strCache>
                <c:ptCount val="8"/>
                <c:pt idx="0">
                  <c:v>Behind the Scenes</c:v>
                </c:pt>
                <c:pt idx="1">
                  <c:v>Educational</c:v>
                </c:pt>
                <c:pt idx="2">
                  <c:v>Event Highlight</c:v>
                </c:pt>
                <c:pt idx="3">
                  <c:v>Industry News</c:v>
                </c:pt>
                <c:pt idx="4">
                  <c:v>Motivational</c:v>
                </c:pt>
                <c:pt idx="5">
                  <c:v>Product Showcase</c:v>
                </c:pt>
                <c:pt idx="6">
                  <c:v>Promotional</c:v>
                </c:pt>
                <c:pt idx="7">
                  <c:v>User Generated Content</c:v>
                </c:pt>
              </c:strCache>
            </c:strRef>
          </c:cat>
          <c:val>
            <c:numRef>
              <c:f>ContentTheme_Analysis!$C$5:$C$12</c:f>
              <c:numCache>
                <c:formatCode>General</c:formatCode>
                <c:ptCount val="8"/>
                <c:pt idx="0">
                  <c:v>9.43</c:v>
                </c:pt>
                <c:pt idx="1">
                  <c:v>11.11</c:v>
                </c:pt>
                <c:pt idx="2">
                  <c:v>10.98</c:v>
                </c:pt>
                <c:pt idx="3">
                  <c:v>11.82</c:v>
                </c:pt>
                <c:pt idx="4">
                  <c:v>9.14</c:v>
                </c:pt>
                <c:pt idx="5">
                  <c:v>12.59</c:v>
                </c:pt>
                <c:pt idx="6">
                  <c:v>14.46</c:v>
                </c:pt>
                <c:pt idx="7">
                  <c:v>10.46</c:v>
                </c:pt>
              </c:numCache>
            </c:numRef>
          </c:val>
        </c:ser>
        <c:gapWidth val="150"/>
        <c:overlap val="0"/>
        <c:axId val="52796602"/>
        <c:axId val="64592"/>
      </c:barChart>
      <c:catAx>
        <c:axId val="527966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92"/>
        <c:crosses val="autoZero"/>
        <c:auto val="1"/>
        <c:lblAlgn val="ctr"/>
        <c:lblOffset val="100"/>
        <c:noMultiLvlLbl val="0"/>
      </c:catAx>
      <c:valAx>
        <c:axId val="645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966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Sentiment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KPI_Summary!B22</c:f>
              <c:strCache>
                <c:ptCount val="1"/>
                <c:pt idx="0">
                  <c:v>Post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e8e5a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2c94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e74c3c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KPI_Summary!$A$23:$A$25</c:f>
              <c:strCache>
                <c:ptCount val="3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KPI_Summary!$B$23:$B$25</c:f>
              <c:numCache>
                <c:formatCode>General</c:formatCode>
                <c:ptCount val="3"/>
                <c:pt idx="0">
                  <c:v>47</c:v>
                </c:pt>
                <c:pt idx="1">
                  <c:v>36</c:v>
                </c:pt>
                <c:pt idx="2">
                  <c:v>37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6</xdr:col>
      <xdr:colOff>261000</xdr:colOff>
      <xdr:row>25</xdr:row>
      <xdr:rowOff>21240</xdr:rowOff>
    </xdr:to>
    <xdr:graphicFrame>
      <xdr:nvGraphicFramePr>
        <xdr:cNvPr id="0" name="Chart 1"/>
        <xdr:cNvGraphicFramePr/>
      </xdr:nvGraphicFramePr>
      <xdr:xfrm>
        <a:off x="0" y="229536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13</xdr:col>
      <xdr:colOff>261000</xdr:colOff>
      <xdr:row>25</xdr:row>
      <xdr:rowOff>21240</xdr:rowOff>
    </xdr:to>
    <xdr:graphicFrame>
      <xdr:nvGraphicFramePr>
        <xdr:cNvPr id="1" name="Chart 2"/>
        <xdr:cNvGraphicFramePr/>
      </xdr:nvGraphicFramePr>
      <xdr:xfrm>
        <a:off x="6414120" y="2295360"/>
        <a:ext cx="575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6</xdr:col>
      <xdr:colOff>261000</xdr:colOff>
      <xdr:row>45</xdr:row>
      <xdr:rowOff>360</xdr:rowOff>
    </xdr:to>
    <xdr:graphicFrame>
      <xdr:nvGraphicFramePr>
        <xdr:cNvPr id="2" name="Chart 3"/>
        <xdr:cNvGraphicFramePr/>
      </xdr:nvGraphicFramePr>
      <xdr:xfrm>
        <a:off x="0" y="578160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11</xdr:col>
      <xdr:colOff>653760</xdr:colOff>
      <xdr:row>45</xdr:row>
      <xdr:rowOff>360</xdr:rowOff>
    </xdr:to>
    <xdr:graphicFrame>
      <xdr:nvGraphicFramePr>
        <xdr:cNvPr id="3" name="Chart 4"/>
        <xdr:cNvGraphicFramePr/>
      </xdr:nvGraphicFramePr>
      <xdr:xfrm>
        <a:off x="6414120" y="5781600"/>
        <a:ext cx="431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Engagement" displayName="tblEngagement" ref="A1:X121" headerRowCount="1" totalsRowCount="0" totalsRowShown="0">
  <autoFilter ref="A1:X121"/>
  <tableColumns count="24">
    <tableColumn id="1" name="Post ID"/>
    <tableColumn id="2" name="Platform"/>
    <tableColumn id="3" name="Post Date"/>
    <tableColumn id="4" name="Post Type"/>
    <tableColumn id="5" name="Content Theme"/>
    <tableColumn id="6" name="Caption"/>
    <tableColumn id="7" name="Hashtags Used"/>
    <tableColumn id="8" name="Impressions"/>
    <tableColumn id="9" name="Reach"/>
    <tableColumn id="10" name="Likes"/>
    <tableColumn id="11" name="Comments"/>
    <tableColumn id="12" name="Shares"/>
    <tableColumn id="13" name="Saves"/>
    <tableColumn id="14" name="Profile Visits"/>
    <tableColumn id="15" name="Link Clicks"/>
    <tableColumn id="16" name="Engagement Rate %"/>
    <tableColumn id="17" name="Follower Growth"/>
    <tableColumn id="18" name="Sentiment Score"/>
    <tableColumn id="19" name="AI Content Score"/>
    <tableColumn id="20" name="Best Posting Time"/>
    <tableColumn id="21" name="Campaign Name"/>
    <tableColumn id="22" name="Total Engagements"/>
    <tableColumn id="23" name="Click-Through Rate %"/>
    <tableColumn id="24" name="Sentiment Categor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1" width="13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7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8" hidden="false" customHeight="true" outlineLevel="0" collapsed="false">
      <c r="A5" s="5" t="s">
        <v>2</v>
      </c>
      <c r="B5" s="5"/>
      <c r="D5" s="5" t="s">
        <v>3</v>
      </c>
      <c r="E5" s="5"/>
      <c r="G5" s="6" t="s">
        <v>4</v>
      </c>
      <c r="H5" s="6"/>
      <c r="J5" s="7" t="s">
        <v>5</v>
      </c>
      <c r="K5" s="7"/>
      <c r="M5" s="8" t="s">
        <v>6</v>
      </c>
      <c r="N5" s="8"/>
    </row>
    <row r="6" customFormat="false" ht="19.5" hidden="false" customHeight="true" outlineLevel="0" collapsed="false">
      <c r="A6" s="9" t="n">
        <f aca="false">SUM(EngagementData!$I$2:$I$121)</f>
        <v>4366278</v>
      </c>
      <c r="B6" s="9"/>
      <c r="D6" s="9" t="n">
        <f aca="false">SUM(EngagementData!$H$2:$H$121)</f>
        <v>6212420</v>
      </c>
      <c r="E6" s="9"/>
      <c r="G6" s="10" t="n">
        <f aca="false">ROUND(AVERAGE(EngagementData!$P$2:$P$121),2)</f>
        <v>11.31</v>
      </c>
      <c r="H6" s="10"/>
      <c r="J6" s="11" t="n">
        <f aca="false">SUM(EngagementData!$Q$2:$Q$121)</f>
        <v>19931</v>
      </c>
      <c r="K6" s="11"/>
      <c r="M6" s="12" t="n">
        <f aca="false">ROUND(AVERAGE(EngagementData!$S$2:$S$121),2)</f>
        <v>6.56</v>
      </c>
      <c r="N6" s="12"/>
    </row>
    <row r="7" customFormat="false" ht="19.5" hidden="false" customHeight="true" outlineLevel="0" collapsed="false">
      <c r="A7" s="9"/>
      <c r="B7" s="9"/>
      <c r="D7" s="9"/>
      <c r="E7" s="9"/>
      <c r="G7" s="10"/>
      <c r="H7" s="10"/>
      <c r="J7" s="11"/>
      <c r="K7" s="11"/>
      <c r="M7" s="12"/>
      <c r="N7" s="12"/>
    </row>
    <row r="10" customFormat="false" ht="19.5" hidden="false" customHeight="true" outlineLevel="0" collapsed="false">
      <c r="A10" s="13" t="s">
        <v>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28" customFormat="false" ht="19.5" hidden="false" customHeight="true" outlineLevel="0" collapsed="false">
      <c r="A28" s="13" t="s">
        <v>8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47" customFormat="false" ht="19.5" hidden="false" customHeight="true" outlineLevel="0" collapsed="false">
      <c r="A47" s="13" t="s">
        <v>9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9" customFormat="false" ht="15" hidden="false" customHeight="true" outlineLevel="0" collapsed="false">
      <c r="A49" s="14" t="s">
        <v>10</v>
      </c>
      <c r="B49" s="14" t="s">
        <v>4</v>
      </c>
      <c r="C49" s="14" t="s">
        <v>11</v>
      </c>
      <c r="F49" s="14" t="s">
        <v>12</v>
      </c>
      <c r="G49" s="14" t="s">
        <v>13</v>
      </c>
      <c r="H49" s="14" t="s">
        <v>14</v>
      </c>
      <c r="I49" s="14" t="s">
        <v>15</v>
      </c>
      <c r="J49" s="14" t="s">
        <v>16</v>
      </c>
    </row>
    <row r="50" customFormat="false" ht="15" hidden="false" customHeight="true" outlineLevel="0" collapsed="false">
      <c r="A50" s="15" t="str">
        <f aca="false">PostingTime_Analysis!A5</f>
        <v>10:00 AM</v>
      </c>
      <c r="B50" s="16" t="n">
        <f aca="false">PostingTime_Analysis!D5</f>
        <v>12.14</v>
      </c>
      <c r="C50" s="17" t="n">
        <f aca="false">PostingTime_Analysis!C5</f>
        <v>39645</v>
      </c>
      <c r="F50" s="15" t="n">
        <f aca="false">TopPosts_Analysis!A5</f>
        <v>1</v>
      </c>
      <c r="G50" s="15" t="str">
        <f aca="false">TopPosts_Analysis!B5</f>
        <v>POST119</v>
      </c>
      <c r="H50" s="15" t="str">
        <f aca="false">TopPosts_Analysis!C5</f>
        <v>Facebook</v>
      </c>
      <c r="I50" s="15" t="str">
        <f aca="false">TopPosts_Analysis!D5</f>
        <v>Event Highlight</v>
      </c>
      <c r="J50" s="16" t="n">
        <f aca="false">TopPosts_Analysis!F5</f>
        <v>24.6</v>
      </c>
    </row>
    <row r="51" customFormat="false" ht="15" hidden="false" customHeight="true" outlineLevel="0" collapsed="false">
      <c r="A51" s="15" t="str">
        <f aca="false">PostingTime_Analysis!A6</f>
        <v>12:00 PM</v>
      </c>
      <c r="B51" s="16" t="n">
        <f aca="false">PostingTime_Analysis!D6</f>
        <v>12.82</v>
      </c>
      <c r="C51" s="17" t="n">
        <f aca="false">PostingTime_Analysis!C6</f>
        <v>31922</v>
      </c>
      <c r="F51" s="15" t="n">
        <f aca="false">TopPosts_Analysis!A6</f>
        <v>2</v>
      </c>
      <c r="G51" s="15" t="str">
        <f aca="false">TopPosts_Analysis!B6</f>
        <v>POST039</v>
      </c>
      <c r="H51" s="15" t="str">
        <f aca="false">TopPosts_Analysis!C6</f>
        <v>Facebook</v>
      </c>
      <c r="I51" s="15" t="str">
        <f aca="false">TopPosts_Analysis!D6</f>
        <v>User Generated Content</v>
      </c>
      <c r="J51" s="16" t="n">
        <f aca="false">TopPosts_Analysis!F6</f>
        <v>24.53</v>
      </c>
    </row>
    <row r="52" customFormat="false" ht="15" hidden="false" customHeight="true" outlineLevel="0" collapsed="false">
      <c r="A52" s="15" t="str">
        <f aca="false">PostingTime_Analysis!A7</f>
        <v>1:00 PM</v>
      </c>
      <c r="B52" s="16" t="n">
        <f aca="false">PostingTime_Analysis!D7</f>
        <v>9.64</v>
      </c>
      <c r="C52" s="17" t="n">
        <f aca="false">PostingTime_Analysis!C7</f>
        <v>32984</v>
      </c>
      <c r="F52" s="15" t="n">
        <f aca="false">TopPosts_Analysis!A7</f>
        <v>3</v>
      </c>
      <c r="G52" s="15" t="str">
        <f aca="false">TopPosts_Analysis!B7</f>
        <v>POST081</v>
      </c>
      <c r="H52" s="15" t="str">
        <f aca="false">TopPosts_Analysis!C7</f>
        <v>Twitter/X</v>
      </c>
      <c r="I52" s="15" t="str">
        <f aca="false">TopPosts_Analysis!D7</f>
        <v>Product Showcase</v>
      </c>
      <c r="J52" s="16" t="n">
        <f aca="false">TopPosts_Analysis!F7</f>
        <v>24.17</v>
      </c>
    </row>
    <row r="53" customFormat="false" ht="15" hidden="false" customHeight="true" outlineLevel="0" collapsed="false">
      <c r="A53" s="15" t="str">
        <f aca="false">PostingTime_Analysis!A8</f>
        <v>5:00 PM</v>
      </c>
      <c r="B53" s="16" t="n">
        <f aca="false">PostingTime_Analysis!D8</f>
        <v>9.15</v>
      </c>
      <c r="C53" s="17" t="n">
        <f aca="false">PostingTime_Analysis!C8</f>
        <v>39732</v>
      </c>
      <c r="F53" s="15" t="n">
        <f aca="false">TopPosts_Analysis!A8</f>
        <v>4</v>
      </c>
      <c r="G53" s="15" t="str">
        <f aca="false">TopPosts_Analysis!B8</f>
        <v>POST034</v>
      </c>
      <c r="H53" s="15" t="str">
        <f aca="false">TopPosts_Analysis!C8</f>
        <v>LinkedIn</v>
      </c>
      <c r="I53" s="15" t="str">
        <f aca="false">TopPosts_Analysis!D8</f>
        <v>Promotional</v>
      </c>
      <c r="J53" s="16" t="n">
        <f aca="false">TopPosts_Analysis!F8</f>
        <v>22.7</v>
      </c>
    </row>
    <row r="54" customFormat="false" ht="15" hidden="false" customHeight="true" outlineLevel="0" collapsed="false">
      <c r="A54" s="15" t="str">
        <f aca="false">PostingTime_Analysis!A9</f>
        <v>6:00 PM</v>
      </c>
      <c r="B54" s="16" t="n">
        <f aca="false">PostingTime_Analysis!D9</f>
        <v>9.66</v>
      </c>
      <c r="C54" s="17" t="n">
        <f aca="false">PostingTime_Analysis!C9</f>
        <v>43393</v>
      </c>
      <c r="F54" s="15" t="n">
        <f aca="false">TopPosts_Analysis!A9</f>
        <v>5</v>
      </c>
      <c r="G54" s="15" t="str">
        <f aca="false">TopPosts_Analysis!B9</f>
        <v>POST105</v>
      </c>
      <c r="H54" s="15" t="str">
        <f aca="false">TopPosts_Analysis!C9</f>
        <v>Instagram</v>
      </c>
      <c r="I54" s="15" t="str">
        <f aca="false">TopPosts_Analysis!D9</f>
        <v>Event Highlight</v>
      </c>
      <c r="J54" s="16" t="n">
        <f aca="false">TopPosts_Analysis!F9</f>
        <v>22.34</v>
      </c>
    </row>
    <row r="55" customFormat="false" ht="15" hidden="false" customHeight="true" outlineLevel="0" collapsed="false">
      <c r="A55" s="15" t="str">
        <f aca="false">PostingTime_Analysis!A10</f>
        <v>7:00 PM</v>
      </c>
      <c r="B55" s="16" t="n">
        <f aca="false">PostingTime_Analysis!D10</f>
        <v>14.35</v>
      </c>
      <c r="C55" s="17" t="n">
        <f aca="false">PostingTime_Analysis!C10</f>
        <v>36510</v>
      </c>
    </row>
    <row r="56" customFormat="false" ht="15" hidden="false" customHeight="true" outlineLevel="0" collapsed="false">
      <c r="A56" s="15" t="str">
        <f aca="false">PostingTime_Analysis!A11</f>
        <v>8:00 AM</v>
      </c>
      <c r="B56" s="16" t="n">
        <f aca="false">PostingTime_Analysis!D11</f>
        <v>15.67</v>
      </c>
      <c r="C56" s="17" t="n">
        <f aca="false">PostingTime_Analysis!C11</f>
        <v>40162</v>
      </c>
    </row>
    <row r="57" customFormat="false" ht="15" hidden="false" customHeight="true" outlineLevel="0" collapsed="false">
      <c r="A57" s="15" t="str">
        <f aca="false">PostingTime_Analysis!A12</f>
        <v>9:00 AM</v>
      </c>
      <c r="B57" s="16" t="n">
        <f aca="false">PostingTime_Analysis!D12</f>
        <v>8.75</v>
      </c>
      <c r="C57" s="17" t="n">
        <f aca="false">PostingTime_Analysis!C12</f>
        <v>29788</v>
      </c>
    </row>
    <row r="60" customFormat="false" ht="19.5" hidden="false" customHeight="true" outlineLevel="0" collapsed="false">
      <c r="A60" s="13" t="s">
        <v>17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2" customFormat="false" ht="27.75" hidden="false" customHeight="true" outlineLevel="0" collapsed="false">
      <c r="A62" s="18" t="s">
        <v>18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customFormat="false" ht="27.75" hidden="false" customHeight="true" outlineLevel="0" collapsed="false">
      <c r="A63" s="18" t="s">
        <v>19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customFormat="false" ht="27.75" hidden="false" customHeight="true" outlineLevel="0" collapsed="false">
      <c r="A64" s="18" t="s">
        <v>20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customFormat="false" ht="27.75" hidden="false" customHeight="true" outlineLevel="0" collapsed="false">
      <c r="A65" s="18" t="s">
        <v>21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customFormat="false" ht="27.75" hidden="false" customHeight="true" outlineLevel="0" collapsed="false">
      <c r="A66" s="18" t="s">
        <v>22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customFormat="false" ht="27.75" hidden="false" customHeight="true" outlineLevel="0" collapsed="false">
      <c r="A67" s="18" t="s">
        <v>23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customFormat="false" ht="27.75" hidden="false" customHeight="true" outlineLevel="0" collapsed="false">
      <c r="A68" s="18" t="s">
        <v>24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</sheetData>
  <mergeCells count="24">
    <mergeCell ref="A1:N2"/>
    <mergeCell ref="A3:N3"/>
    <mergeCell ref="A4:N4"/>
    <mergeCell ref="A5:B5"/>
    <mergeCell ref="D5:E5"/>
    <mergeCell ref="G5:H5"/>
    <mergeCell ref="J5:K5"/>
    <mergeCell ref="M5:N5"/>
    <mergeCell ref="A6:B7"/>
    <mergeCell ref="D6:E7"/>
    <mergeCell ref="G6:H7"/>
    <mergeCell ref="J6:K7"/>
    <mergeCell ref="M6:N7"/>
    <mergeCell ref="A10:N10"/>
    <mergeCell ref="A28:N28"/>
    <mergeCell ref="A47:N47"/>
    <mergeCell ref="A60:N60"/>
    <mergeCell ref="A62:N62"/>
    <mergeCell ref="A63:N63"/>
    <mergeCell ref="A64:N64"/>
    <mergeCell ref="A65:N65"/>
    <mergeCell ref="A66:N66"/>
    <mergeCell ref="A67:N67"/>
    <mergeCell ref="A68:N68"/>
  </mergeCells>
  <conditionalFormatting sqref="B50:B57">
    <cfRule type="colorScale" priority="2">
      <colorScale>
        <cfvo type="min" val="0"/>
        <cfvo type="max" val="0"/>
        <color rgb="FFFFC7CE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5" min="5" style="1" width="24"/>
    <col collapsed="false" customWidth="true" hidden="false" outlineLevel="0" max="7" min="6" style="1" width="45"/>
    <col collapsed="false" customWidth="true" hidden="false" outlineLevel="0" max="8" min="8" style="1" width="13"/>
    <col collapsed="false" customWidth="true" hidden="false" outlineLevel="0" max="13" min="9" style="1" width="10"/>
    <col collapsed="false" customWidth="true" hidden="false" outlineLevel="0" max="14" min="14" style="1" width="16"/>
    <col collapsed="false" customWidth="true" hidden="false" outlineLevel="0" max="15" min="15" style="1" width="13"/>
    <col collapsed="false" customWidth="true" hidden="false" outlineLevel="0" max="16" min="16" style="1" width="19"/>
    <col collapsed="false" customWidth="true" hidden="false" outlineLevel="0" max="18" min="17" style="1" width="17"/>
    <col collapsed="false" customWidth="true" hidden="false" outlineLevel="0" max="19" min="19" style="1" width="18"/>
    <col collapsed="false" customWidth="true" hidden="false" outlineLevel="0" max="20" min="20" style="1" width="19"/>
    <col collapsed="false" customWidth="true" hidden="false" outlineLevel="0" max="21" min="21" style="1" width="25"/>
    <col collapsed="false" customWidth="true" hidden="false" outlineLevel="0" max="22" min="22" style="1" width="22"/>
    <col collapsed="false" customWidth="true" hidden="false" outlineLevel="0" max="23" min="23" style="1" width="25"/>
    <col collapsed="false" customWidth="true" hidden="false" outlineLevel="0" max="24" min="24" style="1" width="45"/>
    <col collapsed="false" customWidth="true" hidden="false" outlineLevel="0" max="25" min="25" style="1" width="16"/>
  </cols>
  <sheetData>
    <row r="1" customFormat="false" ht="27.75" hidden="false" customHeight="true" outlineLevel="0" collapsed="false">
      <c r="A1" s="19" t="s">
        <v>13</v>
      </c>
      <c r="B1" s="19" t="s">
        <v>14</v>
      </c>
      <c r="C1" s="19" t="s">
        <v>25</v>
      </c>
      <c r="D1" s="19" t="s">
        <v>26</v>
      </c>
      <c r="E1" s="19" t="s">
        <v>27</v>
      </c>
      <c r="F1" s="19" t="s">
        <v>28</v>
      </c>
      <c r="G1" s="19" t="s">
        <v>29</v>
      </c>
      <c r="H1" s="19" t="s">
        <v>30</v>
      </c>
      <c r="I1" s="19" t="s">
        <v>31</v>
      </c>
      <c r="J1" s="19" t="s">
        <v>32</v>
      </c>
      <c r="K1" s="19" t="s">
        <v>33</v>
      </c>
      <c r="L1" s="19" t="s">
        <v>34</v>
      </c>
      <c r="M1" s="19" t="s">
        <v>35</v>
      </c>
      <c r="N1" s="19" t="s">
        <v>36</v>
      </c>
      <c r="O1" s="19" t="s">
        <v>37</v>
      </c>
      <c r="P1" s="19" t="s">
        <v>16</v>
      </c>
      <c r="Q1" s="19" t="s">
        <v>5</v>
      </c>
      <c r="R1" s="19" t="s">
        <v>38</v>
      </c>
      <c r="S1" s="19" t="s">
        <v>39</v>
      </c>
      <c r="T1" s="19" t="s">
        <v>40</v>
      </c>
      <c r="U1" s="19" t="s">
        <v>41</v>
      </c>
      <c r="V1" s="19" t="s">
        <v>42</v>
      </c>
      <c r="W1" s="19" t="s">
        <v>43</v>
      </c>
      <c r="X1" s="19" t="s">
        <v>44</v>
      </c>
      <c r="Y1" s="20" t="s">
        <v>45</v>
      </c>
    </row>
    <row r="2" customFormat="false" ht="15" hidden="false" customHeight="true" outlineLevel="0" collapsed="false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21" t="n">
        <v>30756</v>
      </c>
      <c r="I2" s="21" t="n">
        <v>18203</v>
      </c>
      <c r="J2" s="21" t="n">
        <v>469</v>
      </c>
      <c r="K2" s="21" t="n">
        <v>91</v>
      </c>
      <c r="L2" s="21" t="n">
        <v>13</v>
      </c>
      <c r="M2" s="21" t="n">
        <v>78</v>
      </c>
      <c r="N2" s="21" t="n">
        <v>1738</v>
      </c>
      <c r="O2" s="21" t="n">
        <v>65</v>
      </c>
      <c r="P2" s="22" t="n">
        <v>3.58</v>
      </c>
      <c r="Q2" s="21" t="n">
        <v>10</v>
      </c>
      <c r="R2" s="22" t="n">
        <v>0.18</v>
      </c>
      <c r="S2" s="23" t="n">
        <v>5</v>
      </c>
      <c r="T2" s="1" t="s">
        <v>53</v>
      </c>
      <c r="U2" s="1" t="s">
        <v>54</v>
      </c>
      <c r="V2" s="21" t="n">
        <f aca="false">J2+K2+L2+M2</f>
        <v>651</v>
      </c>
      <c r="W2" s="22" t="n">
        <f aca="false">ROUND(O2/I2*100,2)</f>
        <v>0.36</v>
      </c>
      <c r="X2" s="1" t="str">
        <f aca="false">IF(R2&gt;0.6,"Positive",IF(R2&lt;0.35,"Negative","Neutral"))</f>
        <v>Negative</v>
      </c>
      <c r="Y2" s="24" t="n">
        <f aca="false">P2+(ROW()/10000000)</f>
        <v>3.5800002</v>
      </c>
    </row>
    <row r="3" customFormat="false" ht="15" hidden="false" customHeight="true" outlineLevel="0" collapsed="false">
      <c r="A3" s="1" t="s">
        <v>55</v>
      </c>
      <c r="B3" s="1" t="s">
        <v>56</v>
      </c>
      <c r="C3" s="1" t="s">
        <v>57</v>
      </c>
      <c r="D3" s="1" t="s">
        <v>58</v>
      </c>
      <c r="E3" s="1" t="s">
        <v>50</v>
      </c>
      <c r="F3" s="1" t="s">
        <v>59</v>
      </c>
      <c r="G3" s="1" t="s">
        <v>60</v>
      </c>
      <c r="H3" s="21" t="n">
        <v>22426</v>
      </c>
      <c r="I3" s="21" t="n">
        <v>17031</v>
      </c>
      <c r="J3" s="21" t="n">
        <v>1443</v>
      </c>
      <c r="K3" s="21" t="n">
        <v>147</v>
      </c>
      <c r="L3" s="21" t="n">
        <v>41</v>
      </c>
      <c r="M3" s="21" t="n">
        <v>113</v>
      </c>
      <c r="N3" s="21" t="n">
        <v>1970</v>
      </c>
      <c r="O3" s="21" t="n">
        <v>781</v>
      </c>
      <c r="P3" s="22" t="n">
        <v>10.24</v>
      </c>
      <c r="Q3" s="21" t="n">
        <v>167</v>
      </c>
      <c r="R3" s="22" t="n">
        <v>0.19</v>
      </c>
      <c r="S3" s="23" t="n">
        <v>5.9</v>
      </c>
      <c r="T3" s="1" t="s">
        <v>61</v>
      </c>
      <c r="U3" s="1" t="s">
        <v>62</v>
      </c>
      <c r="V3" s="21" t="n">
        <f aca="false">J3+K3+L3+M3</f>
        <v>1744</v>
      </c>
      <c r="W3" s="22" t="n">
        <f aca="false">ROUND(O3/I3*100,2)</f>
        <v>4.59</v>
      </c>
      <c r="X3" s="1" t="str">
        <f aca="false">IF(R3&gt;0.6,"Positive",IF(R3&lt;0.35,"Negative","Neutral"))</f>
        <v>Negative</v>
      </c>
      <c r="Y3" s="24" t="n">
        <f aca="false">P3+(ROW()/10000000)</f>
        <v>10.2400003</v>
      </c>
    </row>
    <row r="4" customFormat="false" ht="15" hidden="false" customHeight="true" outlineLevel="0" collapsed="false">
      <c r="A4" s="1" t="s">
        <v>63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21" t="n">
        <v>11828</v>
      </c>
      <c r="I4" s="21" t="n">
        <v>8464</v>
      </c>
      <c r="J4" s="21" t="n">
        <v>1337</v>
      </c>
      <c r="K4" s="21" t="n">
        <v>321</v>
      </c>
      <c r="L4" s="21" t="n">
        <v>94</v>
      </c>
      <c r="M4" s="21" t="n">
        <v>101</v>
      </c>
      <c r="N4" s="21" t="n">
        <v>731</v>
      </c>
      <c r="O4" s="21" t="n">
        <v>35</v>
      </c>
      <c r="P4" s="22" t="n">
        <v>21.89</v>
      </c>
      <c r="Q4" s="21" t="n">
        <v>18</v>
      </c>
      <c r="R4" s="22" t="n">
        <v>0.66</v>
      </c>
      <c r="S4" s="23" t="n">
        <v>8.4</v>
      </c>
      <c r="T4" s="1" t="s">
        <v>70</v>
      </c>
      <c r="U4" s="1" t="s">
        <v>54</v>
      </c>
      <c r="V4" s="21" t="n">
        <f aca="false">J4+K4+L4+M4</f>
        <v>1853</v>
      </c>
      <c r="W4" s="22" t="n">
        <f aca="false">ROUND(O4/I4*100,2)</f>
        <v>0.41</v>
      </c>
      <c r="X4" s="1" t="str">
        <f aca="false">IF(R4&gt;0.6,"Positive",IF(R4&lt;0.35,"Negative","Neutral"))</f>
        <v>Positive</v>
      </c>
      <c r="Y4" s="24" t="n">
        <f aca="false">P4+(ROW()/10000000)</f>
        <v>21.8900004</v>
      </c>
    </row>
    <row r="5" customFormat="false" ht="15" hidden="false" customHeight="true" outlineLevel="0" collapsed="false">
      <c r="A5" s="1" t="s">
        <v>71</v>
      </c>
      <c r="B5" s="1" t="s">
        <v>72</v>
      </c>
      <c r="C5" s="1" t="s">
        <v>73</v>
      </c>
      <c r="D5" s="1" t="s">
        <v>58</v>
      </c>
      <c r="E5" s="1" t="s">
        <v>74</v>
      </c>
      <c r="F5" s="1" t="s">
        <v>75</v>
      </c>
      <c r="G5" s="1" t="s">
        <v>76</v>
      </c>
      <c r="H5" s="21" t="n">
        <v>50020</v>
      </c>
      <c r="I5" s="21" t="n">
        <v>32842</v>
      </c>
      <c r="J5" s="21" t="n">
        <v>5540</v>
      </c>
      <c r="K5" s="21" t="n">
        <v>551</v>
      </c>
      <c r="L5" s="21" t="n">
        <v>720</v>
      </c>
      <c r="M5" s="21" t="n">
        <v>149</v>
      </c>
      <c r="N5" s="21" t="n">
        <v>2505</v>
      </c>
      <c r="O5" s="21" t="n">
        <v>1300</v>
      </c>
      <c r="P5" s="22" t="n">
        <v>21.19</v>
      </c>
      <c r="Q5" s="21" t="n">
        <v>82</v>
      </c>
      <c r="R5" s="22" t="n">
        <v>0.55</v>
      </c>
      <c r="S5" s="23" t="n">
        <v>5</v>
      </c>
      <c r="T5" s="1" t="s">
        <v>61</v>
      </c>
      <c r="U5" s="1" t="s">
        <v>77</v>
      </c>
      <c r="V5" s="21" t="n">
        <f aca="false">J5+K5+L5+M5</f>
        <v>6960</v>
      </c>
      <c r="W5" s="22" t="n">
        <f aca="false">ROUND(O5/I5*100,2)</f>
        <v>3.96</v>
      </c>
      <c r="X5" s="1" t="str">
        <f aca="false">IF(R5&gt;0.6,"Positive",IF(R5&lt;0.35,"Negative","Neutral"))</f>
        <v>Neutral</v>
      </c>
      <c r="Y5" s="24" t="n">
        <f aca="false">P5+(ROW()/10000000)</f>
        <v>21.1900005</v>
      </c>
    </row>
    <row r="6" customFormat="false" ht="15" hidden="false" customHeight="true" outlineLevel="0" collapsed="false">
      <c r="A6" s="1" t="s">
        <v>78</v>
      </c>
      <c r="B6" s="1" t="s">
        <v>72</v>
      </c>
      <c r="C6" s="1" t="s">
        <v>79</v>
      </c>
      <c r="D6" s="1" t="s">
        <v>49</v>
      </c>
      <c r="E6" s="1" t="s">
        <v>80</v>
      </c>
      <c r="F6" s="1" t="s">
        <v>75</v>
      </c>
      <c r="G6" s="1" t="s">
        <v>81</v>
      </c>
      <c r="H6" s="21" t="n">
        <v>42847</v>
      </c>
      <c r="I6" s="21" t="n">
        <v>28722</v>
      </c>
      <c r="J6" s="21" t="n">
        <v>592</v>
      </c>
      <c r="K6" s="21" t="n">
        <v>59</v>
      </c>
      <c r="L6" s="21" t="n">
        <v>74</v>
      </c>
      <c r="M6" s="21" t="n">
        <v>115</v>
      </c>
      <c r="N6" s="21" t="n">
        <v>2950</v>
      </c>
      <c r="O6" s="21" t="n">
        <v>644</v>
      </c>
      <c r="P6" s="22" t="n">
        <v>2.92</v>
      </c>
      <c r="Q6" s="21" t="n">
        <v>103</v>
      </c>
      <c r="R6" s="22" t="n">
        <v>0.66</v>
      </c>
      <c r="S6" s="23" t="n">
        <v>6</v>
      </c>
      <c r="T6" s="1" t="s">
        <v>61</v>
      </c>
      <c r="U6" s="1" t="s">
        <v>82</v>
      </c>
      <c r="V6" s="21" t="n">
        <f aca="false">J6+K6+L6+M6</f>
        <v>840</v>
      </c>
      <c r="W6" s="22" t="n">
        <f aca="false">ROUND(O6/I6*100,2)</f>
        <v>2.24</v>
      </c>
      <c r="X6" s="1" t="str">
        <f aca="false">IF(R6&gt;0.6,"Positive",IF(R6&lt;0.35,"Negative","Neutral"))</f>
        <v>Positive</v>
      </c>
      <c r="Y6" s="24" t="n">
        <f aca="false">P6+(ROW()/10000000)</f>
        <v>2.9200006</v>
      </c>
    </row>
    <row r="7" customFormat="false" ht="15" hidden="false" customHeight="true" outlineLevel="0" collapsed="false">
      <c r="A7" s="1" t="s">
        <v>83</v>
      </c>
      <c r="B7" s="1" t="s">
        <v>56</v>
      </c>
      <c r="C7" s="1" t="s">
        <v>84</v>
      </c>
      <c r="D7" s="1" t="s">
        <v>85</v>
      </c>
      <c r="E7" s="1" t="s">
        <v>50</v>
      </c>
      <c r="F7" s="1" t="s">
        <v>86</v>
      </c>
      <c r="G7" s="1" t="s">
        <v>81</v>
      </c>
      <c r="H7" s="21" t="n">
        <v>57655</v>
      </c>
      <c r="I7" s="21" t="n">
        <v>47239</v>
      </c>
      <c r="J7" s="21" t="n">
        <v>6593</v>
      </c>
      <c r="K7" s="21" t="n">
        <v>746</v>
      </c>
      <c r="L7" s="21" t="n">
        <v>226</v>
      </c>
      <c r="M7" s="21" t="n">
        <v>286</v>
      </c>
      <c r="N7" s="21" t="n">
        <v>4184</v>
      </c>
      <c r="O7" s="21" t="n">
        <v>2021</v>
      </c>
      <c r="P7" s="22" t="n">
        <v>16.62</v>
      </c>
      <c r="Q7" s="21" t="n">
        <v>41</v>
      </c>
      <c r="R7" s="22" t="n">
        <v>0.74</v>
      </c>
      <c r="S7" s="23" t="n">
        <v>8.9</v>
      </c>
      <c r="T7" s="1" t="s">
        <v>87</v>
      </c>
      <c r="U7" s="1" t="s">
        <v>88</v>
      </c>
      <c r="V7" s="21" t="n">
        <f aca="false">J7+K7+L7+M7</f>
        <v>7851</v>
      </c>
      <c r="W7" s="22" t="n">
        <f aca="false">ROUND(O7/I7*100,2)</f>
        <v>4.28</v>
      </c>
      <c r="X7" s="1" t="str">
        <f aca="false">IF(R7&gt;0.6,"Positive",IF(R7&lt;0.35,"Negative","Neutral"))</f>
        <v>Positive</v>
      </c>
      <c r="Y7" s="24" t="n">
        <f aca="false">P7+(ROW()/10000000)</f>
        <v>16.6200007</v>
      </c>
    </row>
    <row r="8" customFormat="false" ht="15" hidden="false" customHeight="true" outlineLevel="0" collapsed="false">
      <c r="A8" s="1" t="s">
        <v>89</v>
      </c>
      <c r="B8" s="1" t="s">
        <v>64</v>
      </c>
      <c r="C8" s="1" t="s">
        <v>90</v>
      </c>
      <c r="D8" s="1" t="s">
        <v>58</v>
      </c>
      <c r="E8" s="1" t="s">
        <v>91</v>
      </c>
      <c r="F8" s="1" t="s">
        <v>75</v>
      </c>
      <c r="G8" s="1" t="s">
        <v>52</v>
      </c>
      <c r="H8" s="21" t="n">
        <v>34453</v>
      </c>
      <c r="I8" s="21" t="n">
        <v>28986</v>
      </c>
      <c r="J8" s="21" t="n">
        <v>144</v>
      </c>
      <c r="K8" s="21" t="n">
        <v>12</v>
      </c>
      <c r="L8" s="21" t="n">
        <v>19</v>
      </c>
      <c r="M8" s="21" t="n">
        <v>27</v>
      </c>
      <c r="N8" s="21" t="n">
        <v>1102</v>
      </c>
      <c r="O8" s="21" t="n">
        <v>1574</v>
      </c>
      <c r="P8" s="22" t="n">
        <v>0.7</v>
      </c>
      <c r="Q8" s="21" t="n">
        <v>169</v>
      </c>
      <c r="R8" s="22" t="n">
        <v>0.19</v>
      </c>
      <c r="S8" s="23" t="n">
        <v>6.2</v>
      </c>
      <c r="T8" s="1" t="s">
        <v>61</v>
      </c>
      <c r="U8" s="1" t="s">
        <v>82</v>
      </c>
      <c r="V8" s="21" t="n">
        <f aca="false">J8+K8+L8+M8</f>
        <v>202</v>
      </c>
      <c r="W8" s="22" t="n">
        <f aca="false">ROUND(O8/I8*100,2)</f>
        <v>5.43</v>
      </c>
      <c r="X8" s="1" t="str">
        <f aca="false">IF(R8&gt;0.6,"Positive",IF(R8&lt;0.35,"Negative","Neutral"))</f>
        <v>Negative</v>
      </c>
      <c r="Y8" s="24" t="n">
        <f aca="false">P8+(ROW()/10000000)</f>
        <v>0.7000008</v>
      </c>
    </row>
    <row r="9" customFormat="false" ht="15" hidden="false" customHeight="true" outlineLevel="0" collapsed="false">
      <c r="A9" s="1" t="s">
        <v>92</v>
      </c>
      <c r="B9" s="1" t="s">
        <v>47</v>
      </c>
      <c r="C9" s="1" t="s">
        <v>93</v>
      </c>
      <c r="D9" s="1" t="s">
        <v>85</v>
      </c>
      <c r="E9" s="1" t="s">
        <v>50</v>
      </c>
      <c r="F9" s="1" t="s">
        <v>59</v>
      </c>
      <c r="G9" s="1" t="s">
        <v>94</v>
      </c>
      <c r="H9" s="21" t="n">
        <v>68040</v>
      </c>
      <c r="I9" s="21" t="n">
        <v>49852</v>
      </c>
      <c r="J9" s="21" t="n">
        <v>2554</v>
      </c>
      <c r="K9" s="21" t="n">
        <v>387</v>
      </c>
      <c r="L9" s="21" t="n">
        <v>84</v>
      </c>
      <c r="M9" s="21" t="n">
        <v>279</v>
      </c>
      <c r="N9" s="21" t="n">
        <v>4354</v>
      </c>
      <c r="O9" s="21" t="n">
        <v>2</v>
      </c>
      <c r="P9" s="22" t="n">
        <v>6.63</v>
      </c>
      <c r="Q9" s="21" t="n">
        <v>301</v>
      </c>
      <c r="R9" s="22" t="n">
        <v>0.38</v>
      </c>
      <c r="S9" s="23" t="n">
        <v>3.6</v>
      </c>
      <c r="T9" s="1" t="s">
        <v>53</v>
      </c>
      <c r="U9" s="1" t="s">
        <v>62</v>
      </c>
      <c r="V9" s="21" t="n">
        <f aca="false">J9+K9+L9+M9</f>
        <v>3304</v>
      </c>
      <c r="W9" s="22" t="n">
        <f aca="false">ROUND(O9/I9*100,2)</f>
        <v>0</v>
      </c>
      <c r="X9" s="1" t="str">
        <f aca="false">IF(R9&gt;0.6,"Positive",IF(R9&lt;0.35,"Negative","Neutral"))</f>
        <v>Neutral</v>
      </c>
      <c r="Y9" s="24" t="n">
        <f aca="false">P9+(ROW()/10000000)</f>
        <v>6.6300009</v>
      </c>
    </row>
    <row r="10" customFormat="false" ht="15" hidden="false" customHeight="true" outlineLevel="0" collapsed="false">
      <c r="A10" s="1" t="s">
        <v>95</v>
      </c>
      <c r="B10" s="1" t="s">
        <v>56</v>
      </c>
      <c r="C10" s="1" t="s">
        <v>96</v>
      </c>
      <c r="D10" s="1" t="s">
        <v>66</v>
      </c>
      <c r="E10" s="1" t="s">
        <v>67</v>
      </c>
      <c r="F10" s="1" t="s">
        <v>97</v>
      </c>
      <c r="G10" s="1" t="s">
        <v>69</v>
      </c>
      <c r="H10" s="21" t="n">
        <v>65199</v>
      </c>
      <c r="I10" s="21" t="n">
        <v>51820</v>
      </c>
      <c r="J10" s="21" t="n">
        <v>8777</v>
      </c>
      <c r="K10" s="21" t="n">
        <v>520</v>
      </c>
      <c r="L10" s="21" t="n">
        <v>264</v>
      </c>
      <c r="M10" s="21" t="n">
        <v>1354</v>
      </c>
      <c r="N10" s="21" t="n">
        <v>3903</v>
      </c>
      <c r="O10" s="21" t="n">
        <v>2251</v>
      </c>
      <c r="P10" s="22" t="n">
        <v>21.06</v>
      </c>
      <c r="Q10" s="21" t="n">
        <v>79</v>
      </c>
      <c r="R10" s="22" t="n">
        <v>0.33</v>
      </c>
      <c r="S10" s="23" t="n">
        <v>9</v>
      </c>
      <c r="T10" s="1" t="s">
        <v>53</v>
      </c>
      <c r="U10" s="1" t="s">
        <v>98</v>
      </c>
      <c r="V10" s="21" t="n">
        <f aca="false">J10+K10+L10+M10</f>
        <v>10915</v>
      </c>
      <c r="W10" s="22" t="n">
        <f aca="false">ROUND(O10/I10*100,2)</f>
        <v>4.34</v>
      </c>
      <c r="X10" s="1" t="str">
        <f aca="false">IF(R10&gt;0.6,"Positive",IF(R10&lt;0.35,"Negative","Neutral"))</f>
        <v>Negative</v>
      </c>
      <c r="Y10" s="24" t="n">
        <f aca="false">P10+(ROW()/10000000)</f>
        <v>21.060001</v>
      </c>
    </row>
    <row r="11" customFormat="false" ht="15" hidden="false" customHeight="true" outlineLevel="0" collapsed="false">
      <c r="A11" s="1" t="s">
        <v>99</v>
      </c>
      <c r="B11" s="1" t="s">
        <v>64</v>
      </c>
      <c r="C11" s="1" t="s">
        <v>100</v>
      </c>
      <c r="D11" s="1" t="s">
        <v>85</v>
      </c>
      <c r="E11" s="1" t="s">
        <v>74</v>
      </c>
      <c r="F11" s="1" t="s">
        <v>68</v>
      </c>
      <c r="G11" s="1" t="s">
        <v>52</v>
      </c>
      <c r="H11" s="21" t="n">
        <v>69339</v>
      </c>
      <c r="I11" s="21" t="n">
        <v>47528</v>
      </c>
      <c r="J11" s="21" t="n">
        <v>4111</v>
      </c>
      <c r="K11" s="21" t="n">
        <v>235</v>
      </c>
      <c r="L11" s="21" t="n">
        <v>67</v>
      </c>
      <c r="M11" s="21" t="n">
        <v>349</v>
      </c>
      <c r="N11" s="21" t="n">
        <v>182</v>
      </c>
      <c r="O11" s="21" t="n">
        <v>2409</v>
      </c>
      <c r="P11" s="22" t="n">
        <v>10.02</v>
      </c>
      <c r="Q11" s="21" t="n">
        <v>278</v>
      </c>
      <c r="R11" s="22" t="n">
        <v>0.3</v>
      </c>
      <c r="S11" s="23" t="n">
        <v>4.9</v>
      </c>
      <c r="T11" s="1" t="s">
        <v>53</v>
      </c>
      <c r="U11" s="1" t="s">
        <v>88</v>
      </c>
      <c r="V11" s="21" t="n">
        <f aca="false">J11+K11+L11+M11</f>
        <v>4762</v>
      </c>
      <c r="W11" s="22" t="n">
        <f aca="false">ROUND(O11/I11*100,2)</f>
        <v>5.07</v>
      </c>
      <c r="X11" s="1" t="str">
        <f aca="false">IF(R11&gt;0.6,"Positive",IF(R11&lt;0.35,"Negative","Neutral"))</f>
        <v>Negative</v>
      </c>
      <c r="Y11" s="24" t="n">
        <f aca="false">P11+(ROW()/10000000)</f>
        <v>10.0200011</v>
      </c>
    </row>
    <row r="12" customFormat="false" ht="15" hidden="false" customHeight="true" outlineLevel="0" collapsed="false">
      <c r="A12" s="1" t="s">
        <v>101</v>
      </c>
      <c r="B12" s="1" t="s">
        <v>47</v>
      </c>
      <c r="C12" s="1" t="s">
        <v>102</v>
      </c>
      <c r="D12" s="1" t="s">
        <v>103</v>
      </c>
      <c r="E12" s="1" t="s">
        <v>67</v>
      </c>
      <c r="F12" s="1" t="s">
        <v>97</v>
      </c>
      <c r="G12" s="1" t="s">
        <v>69</v>
      </c>
      <c r="H12" s="21" t="n">
        <v>32695</v>
      </c>
      <c r="I12" s="21" t="n">
        <v>20713</v>
      </c>
      <c r="J12" s="21" t="n">
        <v>2038</v>
      </c>
      <c r="K12" s="21" t="n">
        <v>114</v>
      </c>
      <c r="L12" s="21" t="n">
        <v>278</v>
      </c>
      <c r="M12" s="21" t="n">
        <v>70</v>
      </c>
      <c r="N12" s="21" t="n">
        <v>2348</v>
      </c>
      <c r="O12" s="21" t="n">
        <v>1180</v>
      </c>
      <c r="P12" s="22" t="n">
        <v>12.07</v>
      </c>
      <c r="Q12" s="21" t="n">
        <v>237</v>
      </c>
      <c r="R12" s="22" t="n">
        <v>0.31</v>
      </c>
      <c r="S12" s="23" t="n">
        <v>6.5</v>
      </c>
      <c r="T12" s="1" t="s">
        <v>70</v>
      </c>
      <c r="U12" s="1" t="s">
        <v>88</v>
      </c>
      <c r="V12" s="21" t="n">
        <f aca="false">J12+K12+L12+M12</f>
        <v>2500</v>
      </c>
      <c r="W12" s="22" t="n">
        <f aca="false">ROUND(O12/I12*100,2)</f>
        <v>5.7</v>
      </c>
      <c r="X12" s="1" t="str">
        <f aca="false">IF(R12&gt;0.6,"Positive",IF(R12&lt;0.35,"Negative","Neutral"))</f>
        <v>Negative</v>
      </c>
      <c r="Y12" s="24" t="n">
        <f aca="false">P12+(ROW()/10000000)</f>
        <v>12.0700012</v>
      </c>
    </row>
    <row r="13" customFormat="false" ht="15" hidden="false" customHeight="true" outlineLevel="0" collapsed="false">
      <c r="A13" s="1" t="s">
        <v>104</v>
      </c>
      <c r="B13" s="1" t="s">
        <v>64</v>
      </c>
      <c r="C13" s="1" t="s">
        <v>105</v>
      </c>
      <c r="D13" s="1" t="s">
        <v>103</v>
      </c>
      <c r="E13" s="1" t="s">
        <v>106</v>
      </c>
      <c r="F13" s="1" t="s">
        <v>107</v>
      </c>
      <c r="G13" s="1" t="s">
        <v>69</v>
      </c>
      <c r="H13" s="21" t="n">
        <v>62713</v>
      </c>
      <c r="I13" s="21" t="n">
        <v>50744</v>
      </c>
      <c r="J13" s="21" t="n">
        <v>937</v>
      </c>
      <c r="K13" s="21" t="n">
        <v>177</v>
      </c>
      <c r="L13" s="21" t="n">
        <v>27</v>
      </c>
      <c r="M13" s="21" t="n">
        <v>18</v>
      </c>
      <c r="N13" s="21" t="n">
        <v>3308</v>
      </c>
      <c r="O13" s="21" t="n">
        <v>2982</v>
      </c>
      <c r="P13" s="22" t="n">
        <v>2.28</v>
      </c>
      <c r="Q13" s="21" t="n">
        <v>168</v>
      </c>
      <c r="R13" s="22" t="n">
        <v>0.78</v>
      </c>
      <c r="S13" s="23" t="n">
        <v>4.2</v>
      </c>
      <c r="T13" s="1" t="s">
        <v>108</v>
      </c>
      <c r="U13" s="1" t="s">
        <v>82</v>
      </c>
      <c r="V13" s="21" t="n">
        <f aca="false">J13+K13+L13+M13</f>
        <v>1159</v>
      </c>
      <c r="W13" s="22" t="n">
        <f aca="false">ROUND(O13/I13*100,2)</f>
        <v>5.88</v>
      </c>
      <c r="X13" s="1" t="str">
        <f aca="false">IF(R13&gt;0.6,"Positive",IF(R13&lt;0.35,"Negative","Neutral"))</f>
        <v>Positive</v>
      </c>
      <c r="Y13" s="24" t="n">
        <f aca="false">P13+(ROW()/10000000)</f>
        <v>2.2800013</v>
      </c>
    </row>
    <row r="14" customFormat="false" ht="15" hidden="false" customHeight="true" outlineLevel="0" collapsed="false">
      <c r="A14" s="1" t="s">
        <v>109</v>
      </c>
      <c r="B14" s="1" t="s">
        <v>64</v>
      </c>
      <c r="C14" s="1" t="s">
        <v>110</v>
      </c>
      <c r="D14" s="1" t="s">
        <v>111</v>
      </c>
      <c r="E14" s="1" t="s">
        <v>50</v>
      </c>
      <c r="F14" s="1" t="s">
        <v>112</v>
      </c>
      <c r="G14" s="1" t="s">
        <v>81</v>
      </c>
      <c r="H14" s="21" t="n">
        <v>34242</v>
      </c>
      <c r="I14" s="21" t="n">
        <v>27816</v>
      </c>
      <c r="J14" s="21" t="n">
        <v>667</v>
      </c>
      <c r="K14" s="21" t="n">
        <v>118</v>
      </c>
      <c r="L14" s="21" t="n">
        <v>72</v>
      </c>
      <c r="M14" s="21" t="n">
        <v>28</v>
      </c>
      <c r="N14" s="21" t="n">
        <v>217</v>
      </c>
      <c r="O14" s="21" t="n">
        <v>1335</v>
      </c>
      <c r="P14" s="22" t="n">
        <v>3.18</v>
      </c>
      <c r="Q14" s="21" t="n">
        <v>271</v>
      </c>
      <c r="R14" s="22" t="n">
        <v>0.81</v>
      </c>
      <c r="S14" s="23" t="n">
        <v>9.6</v>
      </c>
      <c r="T14" s="1" t="s">
        <v>87</v>
      </c>
      <c r="U14" s="1" t="s">
        <v>113</v>
      </c>
      <c r="V14" s="21" t="n">
        <f aca="false">J14+K14+L14+M14</f>
        <v>885</v>
      </c>
      <c r="W14" s="22" t="n">
        <f aca="false">ROUND(O14/I14*100,2)</f>
        <v>4.8</v>
      </c>
      <c r="X14" s="1" t="str">
        <f aca="false">IF(R14&gt;0.6,"Positive",IF(R14&lt;0.35,"Negative","Neutral"))</f>
        <v>Positive</v>
      </c>
      <c r="Y14" s="24" t="n">
        <f aca="false">P14+(ROW()/10000000)</f>
        <v>3.1800014</v>
      </c>
    </row>
    <row r="15" customFormat="false" ht="15" hidden="false" customHeight="true" outlineLevel="0" collapsed="false">
      <c r="A15" s="1" t="s">
        <v>114</v>
      </c>
      <c r="B15" s="1" t="s">
        <v>64</v>
      </c>
      <c r="C15" s="1" t="s">
        <v>115</v>
      </c>
      <c r="D15" s="1" t="s">
        <v>111</v>
      </c>
      <c r="E15" s="1" t="s">
        <v>106</v>
      </c>
      <c r="F15" s="1" t="s">
        <v>107</v>
      </c>
      <c r="G15" s="1" t="s">
        <v>94</v>
      </c>
      <c r="H15" s="21" t="n">
        <v>23079</v>
      </c>
      <c r="I15" s="21" t="n">
        <v>15317</v>
      </c>
      <c r="J15" s="21" t="n">
        <v>1649</v>
      </c>
      <c r="K15" s="21" t="n">
        <v>140</v>
      </c>
      <c r="L15" s="21" t="n">
        <v>239</v>
      </c>
      <c r="M15" s="21" t="n">
        <v>235</v>
      </c>
      <c r="N15" s="21" t="n">
        <v>594</v>
      </c>
      <c r="O15" s="21" t="n">
        <v>433</v>
      </c>
      <c r="P15" s="22" t="n">
        <v>14.77</v>
      </c>
      <c r="Q15" s="21" t="n">
        <v>279</v>
      </c>
      <c r="R15" s="22" t="n">
        <v>0.66</v>
      </c>
      <c r="S15" s="23" t="n">
        <v>6.6</v>
      </c>
      <c r="T15" s="1" t="s">
        <v>53</v>
      </c>
      <c r="U15" s="1" t="s">
        <v>62</v>
      </c>
      <c r="V15" s="21" t="n">
        <f aca="false">J15+K15+L15+M15</f>
        <v>2263</v>
      </c>
      <c r="W15" s="22" t="n">
        <f aca="false">ROUND(O15/I15*100,2)</f>
        <v>2.83</v>
      </c>
      <c r="X15" s="1" t="str">
        <f aca="false">IF(R15&gt;0.6,"Positive",IF(R15&lt;0.35,"Negative","Neutral"))</f>
        <v>Positive</v>
      </c>
      <c r="Y15" s="24" t="n">
        <f aca="false">P15+(ROW()/10000000)</f>
        <v>14.7700015</v>
      </c>
    </row>
    <row r="16" customFormat="false" ht="15" hidden="false" customHeight="true" outlineLevel="0" collapsed="false">
      <c r="A16" s="1" t="s">
        <v>116</v>
      </c>
      <c r="B16" s="1" t="s">
        <v>47</v>
      </c>
      <c r="C16" s="1" t="s">
        <v>117</v>
      </c>
      <c r="D16" s="1" t="s">
        <v>85</v>
      </c>
      <c r="E16" s="1" t="s">
        <v>74</v>
      </c>
      <c r="F16" s="1" t="s">
        <v>112</v>
      </c>
      <c r="G16" s="1" t="s">
        <v>76</v>
      </c>
      <c r="H16" s="21" t="n">
        <v>8072</v>
      </c>
      <c r="I16" s="21" t="n">
        <v>5854</v>
      </c>
      <c r="J16" s="21" t="n">
        <v>564</v>
      </c>
      <c r="K16" s="21" t="n">
        <v>140</v>
      </c>
      <c r="L16" s="21" t="n">
        <v>22</v>
      </c>
      <c r="M16" s="21" t="n">
        <v>10</v>
      </c>
      <c r="N16" s="21" t="n">
        <v>530</v>
      </c>
      <c r="O16" s="21" t="n">
        <v>41</v>
      </c>
      <c r="P16" s="22" t="n">
        <v>12.57</v>
      </c>
      <c r="Q16" s="21" t="n">
        <v>90</v>
      </c>
      <c r="R16" s="22" t="n">
        <v>0.16</v>
      </c>
      <c r="S16" s="23" t="n">
        <v>3.9</v>
      </c>
      <c r="T16" s="1" t="s">
        <v>70</v>
      </c>
      <c r="U16" s="1" t="s">
        <v>77</v>
      </c>
      <c r="V16" s="21" t="n">
        <f aca="false">J16+K16+L16+M16</f>
        <v>736</v>
      </c>
      <c r="W16" s="22" t="n">
        <f aca="false">ROUND(O16/I16*100,2)</f>
        <v>0.7</v>
      </c>
      <c r="X16" s="1" t="str">
        <f aca="false">IF(R16&gt;0.6,"Positive",IF(R16&lt;0.35,"Negative","Neutral"))</f>
        <v>Negative</v>
      </c>
      <c r="Y16" s="24" t="n">
        <f aca="false">P16+(ROW()/10000000)</f>
        <v>12.5700016</v>
      </c>
    </row>
    <row r="17" customFormat="false" ht="15" hidden="false" customHeight="true" outlineLevel="0" collapsed="false">
      <c r="A17" s="1" t="s">
        <v>118</v>
      </c>
      <c r="B17" s="1" t="s">
        <v>47</v>
      </c>
      <c r="C17" s="1" t="s">
        <v>119</v>
      </c>
      <c r="D17" s="1" t="s">
        <v>66</v>
      </c>
      <c r="E17" s="1" t="s">
        <v>67</v>
      </c>
      <c r="F17" s="1" t="s">
        <v>120</v>
      </c>
      <c r="G17" s="1" t="s">
        <v>121</v>
      </c>
      <c r="H17" s="21" t="n">
        <v>87663</v>
      </c>
      <c r="I17" s="21" t="n">
        <v>63564</v>
      </c>
      <c r="J17" s="21" t="n">
        <v>8615</v>
      </c>
      <c r="K17" s="21" t="n">
        <v>1300</v>
      </c>
      <c r="L17" s="21" t="n">
        <v>536</v>
      </c>
      <c r="M17" s="21" t="n">
        <v>421</v>
      </c>
      <c r="N17" s="21" t="n">
        <v>5496</v>
      </c>
      <c r="O17" s="21" t="n">
        <v>2933</v>
      </c>
      <c r="P17" s="22" t="n">
        <v>17.1</v>
      </c>
      <c r="Q17" s="21" t="n">
        <v>155</v>
      </c>
      <c r="R17" s="22" t="n">
        <v>0.3</v>
      </c>
      <c r="S17" s="23" t="n">
        <v>6</v>
      </c>
      <c r="T17" s="1" t="s">
        <v>122</v>
      </c>
      <c r="U17" s="1" t="s">
        <v>88</v>
      </c>
      <c r="V17" s="21" t="n">
        <f aca="false">J17+K17+L17+M17</f>
        <v>10872</v>
      </c>
      <c r="W17" s="22" t="n">
        <f aca="false">ROUND(O17/I17*100,2)</f>
        <v>4.61</v>
      </c>
      <c r="X17" s="1" t="str">
        <f aca="false">IF(R17&gt;0.6,"Positive",IF(R17&lt;0.35,"Negative","Neutral"))</f>
        <v>Negative</v>
      </c>
      <c r="Y17" s="24" t="n">
        <f aca="false">P17+(ROW()/10000000)</f>
        <v>17.1000017</v>
      </c>
    </row>
    <row r="18" customFormat="false" ht="15" hidden="false" customHeight="true" outlineLevel="0" collapsed="false">
      <c r="A18" s="1" t="s">
        <v>123</v>
      </c>
      <c r="B18" s="1" t="s">
        <v>47</v>
      </c>
      <c r="C18" s="1" t="s">
        <v>124</v>
      </c>
      <c r="D18" s="1" t="s">
        <v>58</v>
      </c>
      <c r="E18" s="1" t="s">
        <v>67</v>
      </c>
      <c r="F18" s="1" t="s">
        <v>120</v>
      </c>
      <c r="G18" s="1" t="s">
        <v>52</v>
      </c>
      <c r="H18" s="21" t="n">
        <v>71968</v>
      </c>
      <c r="I18" s="21" t="n">
        <v>44184</v>
      </c>
      <c r="J18" s="21" t="n">
        <v>2222</v>
      </c>
      <c r="K18" s="21" t="n">
        <v>140</v>
      </c>
      <c r="L18" s="21" t="n">
        <v>180</v>
      </c>
      <c r="M18" s="21" t="n">
        <v>38</v>
      </c>
      <c r="N18" s="21" t="n">
        <v>2011</v>
      </c>
      <c r="O18" s="21" t="n">
        <v>1513</v>
      </c>
      <c r="P18" s="22" t="n">
        <v>5.84</v>
      </c>
      <c r="Q18" s="21" t="n">
        <v>140</v>
      </c>
      <c r="R18" s="22" t="n">
        <v>0.23</v>
      </c>
      <c r="S18" s="23" t="n">
        <v>8.8</v>
      </c>
      <c r="T18" s="1" t="s">
        <v>61</v>
      </c>
      <c r="U18" s="1" t="s">
        <v>88</v>
      </c>
      <c r="V18" s="21" t="n">
        <f aca="false">J18+K18+L18+M18</f>
        <v>2580</v>
      </c>
      <c r="W18" s="22" t="n">
        <f aca="false">ROUND(O18/I18*100,2)</f>
        <v>3.42</v>
      </c>
      <c r="X18" s="1" t="str">
        <f aca="false">IF(R18&gt;0.6,"Positive",IF(R18&lt;0.35,"Negative","Neutral"))</f>
        <v>Negative</v>
      </c>
      <c r="Y18" s="24" t="n">
        <f aca="false">P18+(ROW()/10000000)</f>
        <v>5.8400018</v>
      </c>
    </row>
    <row r="19" customFormat="false" ht="15" hidden="false" customHeight="true" outlineLevel="0" collapsed="false">
      <c r="A19" s="1" t="s">
        <v>125</v>
      </c>
      <c r="B19" s="1" t="s">
        <v>56</v>
      </c>
      <c r="C19" s="1" t="s">
        <v>126</v>
      </c>
      <c r="D19" s="1" t="s">
        <v>103</v>
      </c>
      <c r="E19" s="1" t="s">
        <v>67</v>
      </c>
      <c r="F19" s="1" t="s">
        <v>127</v>
      </c>
      <c r="G19" s="1" t="s">
        <v>128</v>
      </c>
      <c r="H19" s="21" t="n">
        <v>74012</v>
      </c>
      <c r="I19" s="21" t="n">
        <v>44158</v>
      </c>
      <c r="J19" s="21" t="n">
        <v>2358</v>
      </c>
      <c r="K19" s="21" t="n">
        <v>220</v>
      </c>
      <c r="L19" s="21" t="n">
        <v>177</v>
      </c>
      <c r="M19" s="21" t="n">
        <v>107</v>
      </c>
      <c r="N19" s="21" t="n">
        <v>5205</v>
      </c>
      <c r="O19" s="21" t="n">
        <v>1081</v>
      </c>
      <c r="P19" s="22" t="n">
        <v>6.48</v>
      </c>
      <c r="Q19" s="21" t="n">
        <v>253</v>
      </c>
      <c r="R19" s="22" t="n">
        <v>0.52</v>
      </c>
      <c r="S19" s="23" t="n">
        <v>9.2</v>
      </c>
      <c r="T19" s="1" t="s">
        <v>87</v>
      </c>
      <c r="U19" s="1" t="s">
        <v>98</v>
      </c>
      <c r="V19" s="21" t="n">
        <f aca="false">J19+K19+L19+M19</f>
        <v>2862</v>
      </c>
      <c r="W19" s="22" t="n">
        <f aca="false">ROUND(O19/I19*100,2)</f>
        <v>2.45</v>
      </c>
      <c r="X19" s="1" t="str">
        <f aca="false">IF(R19&gt;0.6,"Positive",IF(R19&lt;0.35,"Negative","Neutral"))</f>
        <v>Neutral</v>
      </c>
      <c r="Y19" s="24" t="n">
        <f aca="false">P19+(ROW()/10000000)</f>
        <v>6.4800019</v>
      </c>
    </row>
    <row r="20" customFormat="false" ht="15" hidden="false" customHeight="true" outlineLevel="0" collapsed="false">
      <c r="A20" s="1" t="s">
        <v>129</v>
      </c>
      <c r="B20" s="1" t="s">
        <v>47</v>
      </c>
      <c r="C20" s="1" t="s">
        <v>130</v>
      </c>
      <c r="D20" s="1" t="s">
        <v>49</v>
      </c>
      <c r="E20" s="1" t="s">
        <v>74</v>
      </c>
      <c r="F20" s="1" t="s">
        <v>86</v>
      </c>
      <c r="G20" s="1" t="s">
        <v>52</v>
      </c>
      <c r="H20" s="21" t="n">
        <v>85007</v>
      </c>
      <c r="I20" s="21" t="n">
        <v>71740</v>
      </c>
      <c r="J20" s="21" t="n">
        <v>2697</v>
      </c>
      <c r="K20" s="21" t="n">
        <v>457</v>
      </c>
      <c r="L20" s="21" t="n">
        <v>284</v>
      </c>
      <c r="M20" s="21" t="n">
        <v>440</v>
      </c>
      <c r="N20" s="21" t="n">
        <v>168</v>
      </c>
      <c r="O20" s="21" t="n">
        <v>916</v>
      </c>
      <c r="P20" s="22" t="n">
        <v>5.41</v>
      </c>
      <c r="Q20" s="21" t="n">
        <v>33</v>
      </c>
      <c r="R20" s="22" t="n">
        <v>0.9</v>
      </c>
      <c r="S20" s="23" t="n">
        <v>7.9</v>
      </c>
      <c r="T20" s="1" t="s">
        <v>122</v>
      </c>
      <c r="U20" s="1" t="s">
        <v>82</v>
      </c>
      <c r="V20" s="21" t="n">
        <f aca="false">J20+K20+L20+M20</f>
        <v>3878</v>
      </c>
      <c r="W20" s="22" t="n">
        <f aca="false">ROUND(O20/I20*100,2)</f>
        <v>1.28</v>
      </c>
      <c r="X20" s="1" t="str">
        <f aca="false">IF(R20&gt;0.6,"Positive",IF(R20&lt;0.35,"Negative","Neutral"))</f>
        <v>Positive</v>
      </c>
      <c r="Y20" s="24" t="n">
        <f aca="false">P20+(ROW()/10000000)</f>
        <v>5.410002</v>
      </c>
    </row>
    <row r="21" customFormat="false" ht="15" hidden="false" customHeight="true" outlineLevel="0" collapsed="false">
      <c r="A21" s="1" t="s">
        <v>131</v>
      </c>
      <c r="B21" s="1" t="s">
        <v>64</v>
      </c>
      <c r="C21" s="1" t="s">
        <v>132</v>
      </c>
      <c r="D21" s="1" t="s">
        <v>111</v>
      </c>
      <c r="E21" s="1" t="s">
        <v>133</v>
      </c>
      <c r="F21" s="1" t="s">
        <v>97</v>
      </c>
      <c r="G21" s="1" t="s">
        <v>81</v>
      </c>
      <c r="H21" s="21" t="n">
        <v>49295</v>
      </c>
      <c r="I21" s="21" t="n">
        <v>40406</v>
      </c>
      <c r="J21" s="21" t="n">
        <v>6571</v>
      </c>
      <c r="K21" s="21" t="n">
        <v>86</v>
      </c>
      <c r="L21" s="21" t="n">
        <v>922</v>
      </c>
      <c r="M21" s="21" t="n">
        <v>735</v>
      </c>
      <c r="N21" s="21" t="n">
        <v>1730</v>
      </c>
      <c r="O21" s="21" t="n">
        <v>1022</v>
      </c>
      <c r="P21" s="22" t="n">
        <v>20.58</v>
      </c>
      <c r="Q21" s="21" t="n">
        <v>47</v>
      </c>
      <c r="R21" s="22" t="n">
        <v>0.4</v>
      </c>
      <c r="S21" s="23" t="n">
        <v>7</v>
      </c>
      <c r="T21" s="1" t="s">
        <v>53</v>
      </c>
      <c r="U21" s="1" t="s">
        <v>82</v>
      </c>
      <c r="V21" s="21" t="n">
        <f aca="false">J21+K21+L21+M21</f>
        <v>8314</v>
      </c>
      <c r="W21" s="22" t="n">
        <f aca="false">ROUND(O21/I21*100,2)</f>
        <v>2.53</v>
      </c>
      <c r="X21" s="1" t="str">
        <f aca="false">IF(R21&gt;0.6,"Positive",IF(R21&lt;0.35,"Negative","Neutral"))</f>
        <v>Neutral</v>
      </c>
      <c r="Y21" s="24" t="n">
        <f aca="false">P21+(ROW()/10000000)</f>
        <v>20.5800021</v>
      </c>
    </row>
    <row r="22" customFormat="false" ht="15" hidden="false" customHeight="true" outlineLevel="0" collapsed="false">
      <c r="A22" s="1" t="s">
        <v>134</v>
      </c>
      <c r="B22" s="1" t="s">
        <v>56</v>
      </c>
      <c r="C22" s="1" t="s">
        <v>135</v>
      </c>
      <c r="D22" s="1" t="s">
        <v>58</v>
      </c>
      <c r="E22" s="1" t="s">
        <v>133</v>
      </c>
      <c r="F22" s="1" t="s">
        <v>112</v>
      </c>
      <c r="G22" s="1" t="s">
        <v>69</v>
      </c>
      <c r="H22" s="21" t="n">
        <v>45040</v>
      </c>
      <c r="I22" s="21" t="n">
        <v>35343</v>
      </c>
      <c r="J22" s="21" t="n">
        <v>3422</v>
      </c>
      <c r="K22" s="21" t="n">
        <v>826</v>
      </c>
      <c r="L22" s="21" t="n">
        <v>256</v>
      </c>
      <c r="M22" s="21" t="n">
        <v>276</v>
      </c>
      <c r="N22" s="21" t="n">
        <v>1314</v>
      </c>
      <c r="O22" s="21" t="n">
        <v>442</v>
      </c>
      <c r="P22" s="22" t="n">
        <v>13.52</v>
      </c>
      <c r="Q22" s="21" t="n">
        <v>190</v>
      </c>
      <c r="R22" s="22" t="n">
        <v>0.84</v>
      </c>
      <c r="S22" s="23" t="n">
        <v>8.9</v>
      </c>
      <c r="T22" s="1" t="s">
        <v>108</v>
      </c>
      <c r="U22" s="1" t="s">
        <v>136</v>
      </c>
      <c r="V22" s="21" t="n">
        <f aca="false">J22+K22+L22+M22</f>
        <v>4780</v>
      </c>
      <c r="W22" s="22" t="n">
        <f aca="false">ROUND(O22/I22*100,2)</f>
        <v>1.25</v>
      </c>
      <c r="X22" s="1" t="str">
        <f aca="false">IF(R22&gt;0.6,"Positive",IF(R22&lt;0.35,"Negative","Neutral"))</f>
        <v>Positive</v>
      </c>
      <c r="Y22" s="24" t="n">
        <f aca="false">P22+(ROW()/10000000)</f>
        <v>13.5200022</v>
      </c>
    </row>
    <row r="23" customFormat="false" ht="15" hidden="false" customHeight="true" outlineLevel="0" collapsed="false">
      <c r="A23" s="1" t="s">
        <v>137</v>
      </c>
      <c r="B23" s="1" t="s">
        <v>72</v>
      </c>
      <c r="C23" s="1" t="s">
        <v>138</v>
      </c>
      <c r="D23" s="1" t="s">
        <v>111</v>
      </c>
      <c r="E23" s="1" t="s">
        <v>80</v>
      </c>
      <c r="F23" s="1" t="s">
        <v>139</v>
      </c>
      <c r="G23" s="1" t="s">
        <v>60</v>
      </c>
      <c r="H23" s="21" t="n">
        <v>88011</v>
      </c>
      <c r="I23" s="21" t="n">
        <v>53505</v>
      </c>
      <c r="J23" s="21" t="n">
        <v>5428</v>
      </c>
      <c r="K23" s="21" t="n">
        <v>575</v>
      </c>
      <c r="L23" s="21" t="n">
        <v>73</v>
      </c>
      <c r="M23" s="21" t="n">
        <v>574</v>
      </c>
      <c r="N23" s="21" t="n">
        <v>2886</v>
      </c>
      <c r="O23" s="21" t="n">
        <v>2627</v>
      </c>
      <c r="P23" s="22" t="n">
        <v>12.43</v>
      </c>
      <c r="Q23" s="21" t="n">
        <v>255</v>
      </c>
      <c r="R23" s="22" t="n">
        <v>0.44</v>
      </c>
      <c r="S23" s="23" t="n">
        <v>9.7</v>
      </c>
      <c r="T23" s="1" t="s">
        <v>140</v>
      </c>
      <c r="U23" s="1" t="s">
        <v>88</v>
      </c>
      <c r="V23" s="21" t="n">
        <f aca="false">J23+K23+L23+M23</f>
        <v>6650</v>
      </c>
      <c r="W23" s="22" t="n">
        <f aca="false">ROUND(O23/I23*100,2)</f>
        <v>4.91</v>
      </c>
      <c r="X23" s="1" t="str">
        <f aca="false">IF(R23&gt;0.6,"Positive",IF(R23&lt;0.35,"Negative","Neutral"))</f>
        <v>Neutral</v>
      </c>
      <c r="Y23" s="24" t="n">
        <f aca="false">P23+(ROW()/10000000)</f>
        <v>12.4300023</v>
      </c>
    </row>
    <row r="24" customFormat="false" ht="15" hidden="false" customHeight="true" outlineLevel="0" collapsed="false">
      <c r="A24" s="1" t="s">
        <v>141</v>
      </c>
      <c r="B24" s="1" t="s">
        <v>72</v>
      </c>
      <c r="C24" s="1" t="s">
        <v>142</v>
      </c>
      <c r="D24" s="1" t="s">
        <v>111</v>
      </c>
      <c r="E24" s="1" t="s">
        <v>50</v>
      </c>
      <c r="F24" s="1" t="s">
        <v>97</v>
      </c>
      <c r="G24" s="1" t="s">
        <v>52</v>
      </c>
      <c r="H24" s="21" t="n">
        <v>15708</v>
      </c>
      <c r="I24" s="21" t="n">
        <v>11450</v>
      </c>
      <c r="J24" s="21" t="n">
        <v>757</v>
      </c>
      <c r="K24" s="21" t="n">
        <v>85</v>
      </c>
      <c r="L24" s="21" t="n">
        <v>57</v>
      </c>
      <c r="M24" s="21" t="n">
        <v>133</v>
      </c>
      <c r="N24" s="21" t="n">
        <v>246</v>
      </c>
      <c r="O24" s="21" t="n">
        <v>394</v>
      </c>
      <c r="P24" s="22" t="n">
        <v>9.01</v>
      </c>
      <c r="Q24" s="21" t="n">
        <v>290</v>
      </c>
      <c r="R24" s="22" t="n">
        <v>0.26</v>
      </c>
      <c r="S24" s="23" t="n">
        <v>3.8</v>
      </c>
      <c r="T24" s="1" t="s">
        <v>53</v>
      </c>
      <c r="U24" s="1" t="s">
        <v>136</v>
      </c>
      <c r="V24" s="21" t="n">
        <f aca="false">J24+K24+L24+M24</f>
        <v>1032</v>
      </c>
      <c r="W24" s="22" t="n">
        <f aca="false">ROUND(O24/I24*100,2)</f>
        <v>3.44</v>
      </c>
      <c r="X24" s="1" t="str">
        <f aca="false">IF(R24&gt;0.6,"Positive",IF(R24&lt;0.35,"Negative","Neutral"))</f>
        <v>Negative</v>
      </c>
      <c r="Y24" s="24" t="n">
        <f aca="false">P24+(ROW()/10000000)</f>
        <v>9.0100024</v>
      </c>
    </row>
    <row r="25" customFormat="false" ht="15" hidden="false" customHeight="true" outlineLevel="0" collapsed="false">
      <c r="A25" s="1" t="s">
        <v>143</v>
      </c>
      <c r="B25" s="1" t="s">
        <v>64</v>
      </c>
      <c r="C25" s="1" t="s">
        <v>144</v>
      </c>
      <c r="D25" s="1" t="s">
        <v>49</v>
      </c>
      <c r="E25" s="1" t="s">
        <v>74</v>
      </c>
      <c r="F25" s="1" t="s">
        <v>86</v>
      </c>
      <c r="G25" s="1" t="s">
        <v>69</v>
      </c>
      <c r="H25" s="21" t="n">
        <v>42645</v>
      </c>
      <c r="I25" s="21" t="n">
        <v>31941</v>
      </c>
      <c r="J25" s="21" t="n">
        <v>1070</v>
      </c>
      <c r="K25" s="21" t="n">
        <v>158</v>
      </c>
      <c r="L25" s="21" t="n">
        <v>131</v>
      </c>
      <c r="M25" s="21" t="n">
        <v>82</v>
      </c>
      <c r="N25" s="21" t="n">
        <v>2741</v>
      </c>
      <c r="O25" s="21" t="n">
        <v>836</v>
      </c>
      <c r="P25" s="22" t="n">
        <v>4.51</v>
      </c>
      <c r="Q25" s="21" t="n">
        <v>162</v>
      </c>
      <c r="R25" s="22" t="n">
        <v>0.44</v>
      </c>
      <c r="S25" s="23" t="n">
        <v>5.4</v>
      </c>
      <c r="T25" s="1" t="s">
        <v>87</v>
      </c>
      <c r="U25" s="1" t="s">
        <v>54</v>
      </c>
      <c r="V25" s="21" t="n">
        <f aca="false">J25+K25+L25+M25</f>
        <v>1441</v>
      </c>
      <c r="W25" s="22" t="n">
        <f aca="false">ROUND(O25/I25*100,2)</f>
        <v>2.62</v>
      </c>
      <c r="X25" s="1" t="str">
        <f aca="false">IF(R25&gt;0.6,"Positive",IF(R25&lt;0.35,"Negative","Neutral"))</f>
        <v>Neutral</v>
      </c>
      <c r="Y25" s="24" t="n">
        <f aca="false">P25+(ROW()/10000000)</f>
        <v>4.5100025</v>
      </c>
    </row>
    <row r="26" customFormat="false" ht="15" hidden="false" customHeight="true" outlineLevel="0" collapsed="false">
      <c r="A26" s="1" t="s">
        <v>145</v>
      </c>
      <c r="B26" s="1" t="s">
        <v>56</v>
      </c>
      <c r="C26" s="1" t="s">
        <v>146</v>
      </c>
      <c r="D26" s="1" t="s">
        <v>66</v>
      </c>
      <c r="E26" s="1" t="s">
        <v>50</v>
      </c>
      <c r="F26" s="1" t="s">
        <v>75</v>
      </c>
      <c r="G26" s="1" t="s">
        <v>69</v>
      </c>
      <c r="H26" s="21" t="n">
        <v>73319</v>
      </c>
      <c r="I26" s="21" t="n">
        <v>58663</v>
      </c>
      <c r="J26" s="21" t="n">
        <v>5028</v>
      </c>
      <c r="K26" s="21" t="n">
        <v>592</v>
      </c>
      <c r="L26" s="21" t="n">
        <v>217</v>
      </c>
      <c r="M26" s="21" t="n">
        <v>443</v>
      </c>
      <c r="N26" s="21" t="n">
        <v>6446</v>
      </c>
      <c r="O26" s="21" t="n">
        <v>2375</v>
      </c>
      <c r="P26" s="22" t="n">
        <v>10.71</v>
      </c>
      <c r="Q26" s="21" t="n">
        <v>305</v>
      </c>
      <c r="R26" s="22" t="n">
        <v>0.66</v>
      </c>
      <c r="S26" s="23" t="n">
        <v>6.4</v>
      </c>
      <c r="T26" s="1" t="s">
        <v>108</v>
      </c>
      <c r="U26" s="1" t="s">
        <v>82</v>
      </c>
      <c r="V26" s="21" t="n">
        <f aca="false">J26+K26+L26+M26</f>
        <v>6280</v>
      </c>
      <c r="W26" s="22" t="n">
        <f aca="false">ROUND(O26/I26*100,2)</f>
        <v>4.05</v>
      </c>
      <c r="X26" s="1" t="str">
        <f aca="false">IF(R26&gt;0.6,"Positive",IF(R26&lt;0.35,"Negative","Neutral"))</f>
        <v>Positive</v>
      </c>
      <c r="Y26" s="24" t="n">
        <f aca="false">P26+(ROW()/10000000)</f>
        <v>10.7100026</v>
      </c>
    </row>
    <row r="27" customFormat="false" ht="15" hidden="false" customHeight="true" outlineLevel="0" collapsed="false">
      <c r="A27" s="1" t="s">
        <v>147</v>
      </c>
      <c r="B27" s="1" t="s">
        <v>47</v>
      </c>
      <c r="C27" s="1" t="s">
        <v>148</v>
      </c>
      <c r="D27" s="1" t="s">
        <v>103</v>
      </c>
      <c r="E27" s="1" t="s">
        <v>74</v>
      </c>
      <c r="F27" s="1" t="s">
        <v>68</v>
      </c>
      <c r="G27" s="1" t="s">
        <v>121</v>
      </c>
      <c r="H27" s="21" t="n">
        <v>32284</v>
      </c>
      <c r="I27" s="21" t="n">
        <v>24272</v>
      </c>
      <c r="J27" s="21" t="n">
        <v>1890</v>
      </c>
      <c r="K27" s="21" t="n">
        <v>417</v>
      </c>
      <c r="L27" s="21" t="n">
        <v>103</v>
      </c>
      <c r="M27" s="21" t="n">
        <v>78</v>
      </c>
      <c r="N27" s="21" t="n">
        <v>110</v>
      </c>
      <c r="O27" s="21" t="n">
        <v>94</v>
      </c>
      <c r="P27" s="22" t="n">
        <v>10.25</v>
      </c>
      <c r="Q27" s="21" t="n">
        <v>120</v>
      </c>
      <c r="R27" s="22" t="n">
        <v>0.94</v>
      </c>
      <c r="S27" s="23" t="n">
        <v>7.4</v>
      </c>
      <c r="T27" s="1" t="s">
        <v>87</v>
      </c>
      <c r="U27" s="1" t="s">
        <v>77</v>
      </c>
      <c r="V27" s="21" t="n">
        <f aca="false">J27+K27+L27+M27</f>
        <v>2488</v>
      </c>
      <c r="W27" s="22" t="n">
        <f aca="false">ROUND(O27/I27*100,2)</f>
        <v>0.39</v>
      </c>
      <c r="X27" s="1" t="str">
        <f aca="false">IF(R27&gt;0.6,"Positive",IF(R27&lt;0.35,"Negative","Neutral"))</f>
        <v>Positive</v>
      </c>
      <c r="Y27" s="24" t="n">
        <f aca="false">P27+(ROW()/10000000)</f>
        <v>10.2500027</v>
      </c>
    </row>
    <row r="28" customFormat="false" ht="15" hidden="false" customHeight="true" outlineLevel="0" collapsed="false">
      <c r="A28" s="1" t="s">
        <v>149</v>
      </c>
      <c r="B28" s="1" t="s">
        <v>64</v>
      </c>
      <c r="C28" s="1" t="s">
        <v>150</v>
      </c>
      <c r="D28" s="1" t="s">
        <v>58</v>
      </c>
      <c r="E28" s="1" t="s">
        <v>106</v>
      </c>
      <c r="F28" s="1" t="s">
        <v>151</v>
      </c>
      <c r="G28" s="1" t="s">
        <v>121</v>
      </c>
      <c r="H28" s="21" t="n">
        <v>20842</v>
      </c>
      <c r="I28" s="21" t="n">
        <v>15565</v>
      </c>
      <c r="J28" s="21" t="n">
        <v>72</v>
      </c>
      <c r="K28" s="21" t="n">
        <v>17</v>
      </c>
      <c r="L28" s="21" t="n">
        <v>3</v>
      </c>
      <c r="M28" s="21" t="n">
        <v>9</v>
      </c>
      <c r="N28" s="21" t="n">
        <v>458</v>
      </c>
      <c r="O28" s="21" t="n">
        <v>180</v>
      </c>
      <c r="P28" s="22" t="n">
        <v>0.65</v>
      </c>
      <c r="Q28" s="21" t="n">
        <v>260</v>
      </c>
      <c r="R28" s="22" t="n">
        <v>0.49</v>
      </c>
      <c r="S28" s="23" t="n">
        <v>7</v>
      </c>
      <c r="T28" s="1" t="s">
        <v>152</v>
      </c>
      <c r="U28" s="1" t="s">
        <v>113</v>
      </c>
      <c r="V28" s="21" t="n">
        <f aca="false">J28+K28+L28+M28</f>
        <v>101</v>
      </c>
      <c r="W28" s="22" t="n">
        <f aca="false">ROUND(O28/I28*100,2)</f>
        <v>1.16</v>
      </c>
      <c r="X28" s="1" t="str">
        <f aca="false">IF(R28&gt;0.6,"Positive",IF(R28&lt;0.35,"Negative","Neutral"))</f>
        <v>Neutral</v>
      </c>
      <c r="Y28" s="24" t="n">
        <f aca="false">P28+(ROW()/10000000)</f>
        <v>0.6500028</v>
      </c>
    </row>
    <row r="29" customFormat="false" ht="15" hidden="false" customHeight="true" outlineLevel="0" collapsed="false">
      <c r="A29" s="1" t="s">
        <v>153</v>
      </c>
      <c r="B29" s="1" t="s">
        <v>72</v>
      </c>
      <c r="C29" s="1" t="s">
        <v>154</v>
      </c>
      <c r="D29" s="1" t="s">
        <v>58</v>
      </c>
      <c r="E29" s="1" t="s">
        <v>106</v>
      </c>
      <c r="F29" s="1" t="s">
        <v>112</v>
      </c>
      <c r="G29" s="1" t="s">
        <v>94</v>
      </c>
      <c r="H29" s="21" t="n">
        <v>59946</v>
      </c>
      <c r="I29" s="21" t="n">
        <v>49105</v>
      </c>
      <c r="J29" s="21" t="n">
        <v>7827</v>
      </c>
      <c r="K29" s="21" t="n">
        <v>926</v>
      </c>
      <c r="L29" s="21" t="n">
        <v>532</v>
      </c>
      <c r="M29" s="21" t="n">
        <v>1542</v>
      </c>
      <c r="N29" s="21" t="n">
        <v>2035</v>
      </c>
      <c r="O29" s="21" t="n">
        <v>2611</v>
      </c>
      <c r="P29" s="22" t="n">
        <v>22.05</v>
      </c>
      <c r="Q29" s="21" t="n">
        <v>136</v>
      </c>
      <c r="R29" s="22" t="n">
        <v>0.75</v>
      </c>
      <c r="S29" s="23" t="n">
        <v>6.8</v>
      </c>
      <c r="T29" s="1" t="s">
        <v>108</v>
      </c>
      <c r="U29" s="1" t="s">
        <v>88</v>
      </c>
      <c r="V29" s="21" t="n">
        <f aca="false">J29+K29+L29+M29</f>
        <v>10827</v>
      </c>
      <c r="W29" s="22" t="n">
        <f aca="false">ROUND(O29/I29*100,2)</f>
        <v>5.32</v>
      </c>
      <c r="X29" s="1" t="str">
        <f aca="false">IF(R29&gt;0.6,"Positive",IF(R29&lt;0.35,"Negative","Neutral"))</f>
        <v>Positive</v>
      </c>
      <c r="Y29" s="24" t="n">
        <f aca="false">P29+(ROW()/10000000)</f>
        <v>22.0500029</v>
      </c>
    </row>
    <row r="30" customFormat="false" ht="15" hidden="false" customHeight="true" outlineLevel="0" collapsed="false">
      <c r="A30" s="1" t="s">
        <v>155</v>
      </c>
      <c r="B30" s="1" t="s">
        <v>72</v>
      </c>
      <c r="C30" s="1" t="s">
        <v>156</v>
      </c>
      <c r="D30" s="1" t="s">
        <v>111</v>
      </c>
      <c r="E30" s="1" t="s">
        <v>50</v>
      </c>
      <c r="F30" s="1" t="s">
        <v>139</v>
      </c>
      <c r="G30" s="1" t="s">
        <v>121</v>
      </c>
      <c r="H30" s="21" t="n">
        <v>43404</v>
      </c>
      <c r="I30" s="21" t="n">
        <v>35500</v>
      </c>
      <c r="J30" s="21" t="n">
        <v>710</v>
      </c>
      <c r="K30" s="21" t="n">
        <v>40</v>
      </c>
      <c r="L30" s="21" t="n">
        <v>21</v>
      </c>
      <c r="M30" s="21" t="n">
        <v>62</v>
      </c>
      <c r="N30" s="21" t="n">
        <v>3147</v>
      </c>
      <c r="O30" s="21" t="n">
        <v>625</v>
      </c>
      <c r="P30" s="22" t="n">
        <v>2.35</v>
      </c>
      <c r="Q30" s="21" t="n">
        <v>104</v>
      </c>
      <c r="R30" s="22" t="n">
        <v>0.15</v>
      </c>
      <c r="S30" s="23" t="n">
        <v>6.1</v>
      </c>
      <c r="T30" s="1" t="s">
        <v>87</v>
      </c>
      <c r="U30" s="1" t="s">
        <v>62</v>
      </c>
      <c r="V30" s="21" t="n">
        <f aca="false">J30+K30+L30+M30</f>
        <v>833</v>
      </c>
      <c r="W30" s="22" t="n">
        <f aca="false">ROUND(O30/I30*100,2)</f>
        <v>1.76</v>
      </c>
      <c r="X30" s="1" t="str">
        <f aca="false">IF(R30&gt;0.6,"Positive",IF(R30&lt;0.35,"Negative","Neutral"))</f>
        <v>Negative</v>
      </c>
      <c r="Y30" s="24" t="n">
        <f aca="false">P30+(ROW()/10000000)</f>
        <v>2.350003</v>
      </c>
    </row>
    <row r="31" customFormat="false" ht="15" hidden="false" customHeight="true" outlineLevel="0" collapsed="false">
      <c r="A31" s="1" t="s">
        <v>157</v>
      </c>
      <c r="B31" s="1" t="s">
        <v>56</v>
      </c>
      <c r="C31" s="1" t="s">
        <v>84</v>
      </c>
      <c r="D31" s="1" t="s">
        <v>58</v>
      </c>
      <c r="E31" s="1" t="s">
        <v>106</v>
      </c>
      <c r="F31" s="1" t="s">
        <v>97</v>
      </c>
      <c r="G31" s="1" t="s">
        <v>69</v>
      </c>
      <c r="H31" s="21" t="n">
        <v>92663</v>
      </c>
      <c r="I31" s="21" t="n">
        <v>51507</v>
      </c>
      <c r="J31" s="21" t="n">
        <v>6282</v>
      </c>
      <c r="K31" s="21" t="n">
        <v>981</v>
      </c>
      <c r="L31" s="21" t="n">
        <v>8</v>
      </c>
      <c r="M31" s="21" t="n">
        <v>723</v>
      </c>
      <c r="N31" s="21" t="n">
        <v>2456</v>
      </c>
      <c r="O31" s="21" t="n">
        <v>3086</v>
      </c>
      <c r="P31" s="22" t="n">
        <v>15.52</v>
      </c>
      <c r="Q31" s="21" t="n">
        <v>194</v>
      </c>
      <c r="R31" s="22" t="n">
        <v>0.83</v>
      </c>
      <c r="S31" s="23" t="n">
        <v>9.5</v>
      </c>
      <c r="T31" s="1" t="s">
        <v>108</v>
      </c>
      <c r="U31" s="1" t="s">
        <v>77</v>
      </c>
      <c r="V31" s="21" t="n">
        <f aca="false">J31+K31+L31+M31</f>
        <v>7994</v>
      </c>
      <c r="W31" s="22" t="n">
        <f aca="false">ROUND(O31/I31*100,2)</f>
        <v>5.99</v>
      </c>
      <c r="X31" s="1" t="str">
        <f aca="false">IF(R31&gt;0.6,"Positive",IF(R31&lt;0.35,"Negative","Neutral"))</f>
        <v>Positive</v>
      </c>
      <c r="Y31" s="24" t="n">
        <f aca="false">P31+(ROW()/10000000)</f>
        <v>15.5200031</v>
      </c>
    </row>
    <row r="32" customFormat="false" ht="15" hidden="false" customHeight="true" outlineLevel="0" collapsed="false">
      <c r="A32" s="1" t="s">
        <v>158</v>
      </c>
      <c r="B32" s="1" t="s">
        <v>72</v>
      </c>
      <c r="C32" s="1" t="s">
        <v>159</v>
      </c>
      <c r="D32" s="1" t="s">
        <v>58</v>
      </c>
      <c r="E32" s="1" t="s">
        <v>91</v>
      </c>
      <c r="F32" s="1" t="s">
        <v>160</v>
      </c>
      <c r="G32" s="1" t="s">
        <v>52</v>
      </c>
      <c r="H32" s="21" t="n">
        <v>52468</v>
      </c>
      <c r="I32" s="21" t="n">
        <v>34148</v>
      </c>
      <c r="J32" s="21" t="n">
        <v>5613</v>
      </c>
      <c r="K32" s="21" t="n">
        <v>833</v>
      </c>
      <c r="L32" s="21" t="n">
        <v>743</v>
      </c>
      <c r="M32" s="21" t="n">
        <v>341</v>
      </c>
      <c r="N32" s="21" t="n">
        <v>3452</v>
      </c>
      <c r="O32" s="21" t="n">
        <v>1914</v>
      </c>
      <c r="P32" s="22" t="n">
        <v>22.05</v>
      </c>
      <c r="Q32" s="21" t="n">
        <v>60</v>
      </c>
      <c r="R32" s="22" t="n">
        <v>0.93</v>
      </c>
      <c r="S32" s="23" t="n">
        <v>6.9</v>
      </c>
      <c r="T32" s="1" t="s">
        <v>70</v>
      </c>
      <c r="U32" s="1" t="s">
        <v>54</v>
      </c>
      <c r="V32" s="21" t="n">
        <f aca="false">J32+K32+L32+M32</f>
        <v>7530</v>
      </c>
      <c r="W32" s="22" t="n">
        <f aca="false">ROUND(O32/I32*100,2)</f>
        <v>5.61</v>
      </c>
      <c r="X32" s="1" t="str">
        <f aca="false">IF(R32&gt;0.6,"Positive",IF(R32&lt;0.35,"Negative","Neutral"))</f>
        <v>Positive</v>
      </c>
      <c r="Y32" s="24" t="n">
        <f aca="false">P32+(ROW()/10000000)</f>
        <v>22.0500032</v>
      </c>
    </row>
    <row r="33" customFormat="false" ht="15" hidden="false" customHeight="true" outlineLevel="0" collapsed="false">
      <c r="A33" s="1" t="s">
        <v>161</v>
      </c>
      <c r="B33" s="1" t="s">
        <v>56</v>
      </c>
      <c r="C33" s="1" t="s">
        <v>162</v>
      </c>
      <c r="D33" s="1" t="s">
        <v>58</v>
      </c>
      <c r="E33" s="1" t="s">
        <v>163</v>
      </c>
      <c r="F33" s="1" t="s">
        <v>164</v>
      </c>
      <c r="G33" s="1" t="s">
        <v>52</v>
      </c>
      <c r="H33" s="21" t="n">
        <v>35599</v>
      </c>
      <c r="I33" s="21" t="n">
        <v>23628</v>
      </c>
      <c r="J33" s="21" t="n">
        <v>1783</v>
      </c>
      <c r="K33" s="21" t="n">
        <v>237</v>
      </c>
      <c r="L33" s="21" t="n">
        <v>169</v>
      </c>
      <c r="M33" s="21" t="n">
        <v>175</v>
      </c>
      <c r="N33" s="21" t="n">
        <v>1562</v>
      </c>
      <c r="O33" s="21" t="n">
        <v>569</v>
      </c>
      <c r="P33" s="22" t="n">
        <v>10.01</v>
      </c>
      <c r="Q33" s="21" t="n">
        <v>210</v>
      </c>
      <c r="R33" s="22" t="n">
        <v>0.31</v>
      </c>
      <c r="S33" s="23" t="n">
        <v>4</v>
      </c>
      <c r="T33" s="1" t="s">
        <v>122</v>
      </c>
      <c r="U33" s="1" t="s">
        <v>77</v>
      </c>
      <c r="V33" s="21" t="n">
        <f aca="false">J33+K33+L33+M33</f>
        <v>2364</v>
      </c>
      <c r="W33" s="22" t="n">
        <f aca="false">ROUND(O33/I33*100,2)</f>
        <v>2.41</v>
      </c>
      <c r="X33" s="1" t="str">
        <f aca="false">IF(R33&gt;0.6,"Positive",IF(R33&lt;0.35,"Negative","Neutral"))</f>
        <v>Negative</v>
      </c>
      <c r="Y33" s="24" t="n">
        <f aca="false">P33+(ROW()/10000000)</f>
        <v>10.0100033</v>
      </c>
    </row>
    <row r="34" customFormat="false" ht="15" hidden="false" customHeight="true" outlineLevel="0" collapsed="false">
      <c r="A34" s="1" t="s">
        <v>165</v>
      </c>
      <c r="B34" s="1" t="s">
        <v>47</v>
      </c>
      <c r="C34" s="1" t="s">
        <v>166</v>
      </c>
      <c r="D34" s="1" t="s">
        <v>85</v>
      </c>
      <c r="E34" s="1" t="s">
        <v>133</v>
      </c>
      <c r="F34" s="1" t="s">
        <v>167</v>
      </c>
      <c r="G34" s="1" t="s">
        <v>60</v>
      </c>
      <c r="H34" s="21" t="n">
        <v>33911</v>
      </c>
      <c r="I34" s="21" t="n">
        <v>20679</v>
      </c>
      <c r="J34" s="21" t="n">
        <v>133</v>
      </c>
      <c r="K34" s="21" t="n">
        <v>24</v>
      </c>
      <c r="L34" s="21" t="n">
        <v>6</v>
      </c>
      <c r="M34" s="21" t="n">
        <v>10</v>
      </c>
      <c r="N34" s="21" t="n">
        <v>527</v>
      </c>
      <c r="O34" s="21" t="n">
        <v>969</v>
      </c>
      <c r="P34" s="22" t="n">
        <v>0.84</v>
      </c>
      <c r="Q34" s="21" t="n">
        <v>53</v>
      </c>
      <c r="R34" s="22" t="n">
        <v>0.58</v>
      </c>
      <c r="S34" s="23" t="n">
        <v>4.9</v>
      </c>
      <c r="T34" s="1" t="s">
        <v>152</v>
      </c>
      <c r="U34" s="1" t="s">
        <v>88</v>
      </c>
      <c r="V34" s="21" t="n">
        <f aca="false">J34+K34+L34+M34</f>
        <v>173</v>
      </c>
      <c r="W34" s="22" t="n">
        <f aca="false">ROUND(O34/I34*100,2)</f>
        <v>4.69</v>
      </c>
      <c r="X34" s="1" t="str">
        <f aca="false">IF(R34&gt;0.6,"Positive",IF(R34&lt;0.35,"Negative","Neutral"))</f>
        <v>Neutral</v>
      </c>
      <c r="Y34" s="24" t="n">
        <f aca="false">P34+(ROW()/10000000)</f>
        <v>0.8400034</v>
      </c>
    </row>
    <row r="35" customFormat="false" ht="15" hidden="false" customHeight="true" outlineLevel="0" collapsed="false">
      <c r="A35" s="1" t="s">
        <v>168</v>
      </c>
      <c r="B35" s="1" t="s">
        <v>56</v>
      </c>
      <c r="C35" s="1" t="s">
        <v>169</v>
      </c>
      <c r="D35" s="1" t="s">
        <v>103</v>
      </c>
      <c r="E35" s="1" t="s">
        <v>67</v>
      </c>
      <c r="F35" s="1" t="s">
        <v>112</v>
      </c>
      <c r="G35" s="1" t="s">
        <v>128</v>
      </c>
      <c r="H35" s="21" t="n">
        <v>4865</v>
      </c>
      <c r="I35" s="21" t="n">
        <v>4031</v>
      </c>
      <c r="J35" s="21" t="n">
        <v>639</v>
      </c>
      <c r="K35" s="21" t="n">
        <v>101</v>
      </c>
      <c r="L35" s="21" t="n">
        <v>52</v>
      </c>
      <c r="M35" s="21" t="n">
        <v>123</v>
      </c>
      <c r="N35" s="21" t="n">
        <v>376</v>
      </c>
      <c r="O35" s="21" t="n">
        <v>50</v>
      </c>
      <c r="P35" s="22" t="n">
        <v>22.7</v>
      </c>
      <c r="Q35" s="21" t="n">
        <v>33</v>
      </c>
      <c r="R35" s="22" t="n">
        <v>0.6</v>
      </c>
      <c r="S35" s="23" t="n">
        <v>8.7</v>
      </c>
      <c r="T35" s="1" t="s">
        <v>61</v>
      </c>
      <c r="U35" s="1" t="s">
        <v>88</v>
      </c>
      <c r="V35" s="21" t="n">
        <f aca="false">J35+K35+L35+M35</f>
        <v>915</v>
      </c>
      <c r="W35" s="22" t="n">
        <f aca="false">ROUND(O35/I35*100,2)</f>
        <v>1.24</v>
      </c>
      <c r="X35" s="1" t="str">
        <f aca="false">IF(R35&gt;0.6,"Positive",IF(R35&lt;0.35,"Negative","Neutral"))</f>
        <v>Neutral</v>
      </c>
      <c r="Y35" s="24" t="n">
        <f aca="false">P35+(ROW()/10000000)</f>
        <v>22.7000035</v>
      </c>
    </row>
    <row r="36" customFormat="false" ht="15" hidden="false" customHeight="true" outlineLevel="0" collapsed="false">
      <c r="A36" s="1" t="s">
        <v>170</v>
      </c>
      <c r="B36" s="1" t="s">
        <v>47</v>
      </c>
      <c r="C36" s="1" t="s">
        <v>171</v>
      </c>
      <c r="D36" s="1" t="s">
        <v>103</v>
      </c>
      <c r="E36" s="1" t="s">
        <v>106</v>
      </c>
      <c r="F36" s="1" t="s">
        <v>86</v>
      </c>
      <c r="G36" s="1" t="s">
        <v>76</v>
      </c>
      <c r="H36" s="21" t="n">
        <v>50071</v>
      </c>
      <c r="I36" s="21" t="n">
        <v>28574</v>
      </c>
      <c r="J36" s="21" t="n">
        <v>2845</v>
      </c>
      <c r="K36" s="21" t="n">
        <v>17</v>
      </c>
      <c r="L36" s="21" t="n">
        <v>217</v>
      </c>
      <c r="M36" s="21" t="n">
        <v>504</v>
      </c>
      <c r="N36" s="21" t="n">
        <v>442</v>
      </c>
      <c r="O36" s="21" t="n">
        <v>887</v>
      </c>
      <c r="P36" s="22" t="n">
        <v>12.54</v>
      </c>
      <c r="Q36" s="21" t="n">
        <v>180</v>
      </c>
      <c r="R36" s="22" t="n">
        <v>0.64</v>
      </c>
      <c r="S36" s="23" t="n">
        <v>8.7</v>
      </c>
      <c r="T36" s="1" t="s">
        <v>152</v>
      </c>
      <c r="U36" s="1" t="s">
        <v>98</v>
      </c>
      <c r="V36" s="21" t="n">
        <f aca="false">J36+K36+L36+M36</f>
        <v>3583</v>
      </c>
      <c r="W36" s="22" t="n">
        <f aca="false">ROUND(O36/I36*100,2)</f>
        <v>3.1</v>
      </c>
      <c r="X36" s="1" t="str">
        <f aca="false">IF(R36&gt;0.6,"Positive",IF(R36&lt;0.35,"Negative","Neutral"))</f>
        <v>Positive</v>
      </c>
      <c r="Y36" s="24" t="n">
        <f aca="false">P36+(ROW()/10000000)</f>
        <v>12.5400036</v>
      </c>
    </row>
    <row r="37" customFormat="false" ht="15" hidden="false" customHeight="true" outlineLevel="0" collapsed="false">
      <c r="A37" s="1" t="s">
        <v>172</v>
      </c>
      <c r="B37" s="1" t="s">
        <v>64</v>
      </c>
      <c r="C37" s="1" t="s">
        <v>173</v>
      </c>
      <c r="D37" s="1" t="s">
        <v>58</v>
      </c>
      <c r="E37" s="1" t="s">
        <v>106</v>
      </c>
      <c r="F37" s="1" t="s">
        <v>174</v>
      </c>
      <c r="G37" s="1" t="s">
        <v>52</v>
      </c>
      <c r="H37" s="21" t="n">
        <v>36679</v>
      </c>
      <c r="I37" s="21" t="n">
        <v>23719</v>
      </c>
      <c r="J37" s="21" t="n">
        <v>2061</v>
      </c>
      <c r="K37" s="21" t="n">
        <v>430</v>
      </c>
      <c r="L37" s="21" t="n">
        <v>46</v>
      </c>
      <c r="M37" s="21" t="n">
        <v>145</v>
      </c>
      <c r="N37" s="21" t="n">
        <v>1856</v>
      </c>
      <c r="O37" s="21" t="n">
        <v>499</v>
      </c>
      <c r="P37" s="22" t="n">
        <v>11.31</v>
      </c>
      <c r="Q37" s="21" t="n">
        <v>232</v>
      </c>
      <c r="R37" s="22" t="n">
        <v>0.58</v>
      </c>
      <c r="S37" s="23" t="n">
        <v>7.7</v>
      </c>
      <c r="T37" s="1" t="s">
        <v>108</v>
      </c>
      <c r="U37" s="1" t="s">
        <v>136</v>
      </c>
      <c r="V37" s="21" t="n">
        <f aca="false">J37+K37+L37+M37</f>
        <v>2682</v>
      </c>
      <c r="W37" s="22" t="n">
        <f aca="false">ROUND(O37/I37*100,2)</f>
        <v>2.1</v>
      </c>
      <c r="X37" s="1" t="str">
        <f aca="false">IF(R37&gt;0.6,"Positive",IF(R37&lt;0.35,"Negative","Neutral"))</f>
        <v>Neutral</v>
      </c>
      <c r="Y37" s="24" t="n">
        <f aca="false">P37+(ROW()/10000000)</f>
        <v>11.3100037</v>
      </c>
    </row>
    <row r="38" customFormat="false" ht="15" hidden="false" customHeight="true" outlineLevel="0" collapsed="false">
      <c r="A38" s="1" t="s">
        <v>175</v>
      </c>
      <c r="B38" s="1" t="s">
        <v>56</v>
      </c>
      <c r="C38" s="1" t="s">
        <v>176</v>
      </c>
      <c r="D38" s="1" t="s">
        <v>58</v>
      </c>
      <c r="E38" s="1" t="s">
        <v>80</v>
      </c>
      <c r="F38" s="1" t="s">
        <v>112</v>
      </c>
      <c r="G38" s="1" t="s">
        <v>121</v>
      </c>
      <c r="H38" s="21" t="n">
        <v>35362</v>
      </c>
      <c r="I38" s="21" t="n">
        <v>23059</v>
      </c>
      <c r="J38" s="21" t="n">
        <v>2313</v>
      </c>
      <c r="K38" s="21" t="n">
        <v>574</v>
      </c>
      <c r="L38" s="21" t="n">
        <v>7</v>
      </c>
      <c r="M38" s="21" t="n">
        <v>267</v>
      </c>
      <c r="N38" s="21" t="n">
        <v>792</v>
      </c>
      <c r="O38" s="21" t="n">
        <v>175</v>
      </c>
      <c r="P38" s="22" t="n">
        <v>13.71</v>
      </c>
      <c r="Q38" s="21" t="n">
        <v>118</v>
      </c>
      <c r="R38" s="22" t="n">
        <v>0.71</v>
      </c>
      <c r="S38" s="23" t="n">
        <v>6.6</v>
      </c>
      <c r="T38" s="1" t="s">
        <v>108</v>
      </c>
      <c r="U38" s="1" t="s">
        <v>113</v>
      </c>
      <c r="V38" s="21" t="n">
        <f aca="false">J38+K38+L38+M38</f>
        <v>3161</v>
      </c>
      <c r="W38" s="22" t="n">
        <f aca="false">ROUND(O38/I38*100,2)</f>
        <v>0.76</v>
      </c>
      <c r="X38" s="1" t="str">
        <f aca="false">IF(R38&gt;0.6,"Positive",IF(R38&lt;0.35,"Negative","Neutral"))</f>
        <v>Positive</v>
      </c>
      <c r="Y38" s="24" t="n">
        <f aca="false">P38+(ROW()/10000000)</f>
        <v>13.7100038</v>
      </c>
    </row>
    <row r="39" customFormat="false" ht="15" hidden="false" customHeight="true" outlineLevel="0" collapsed="false">
      <c r="A39" s="1" t="s">
        <v>177</v>
      </c>
      <c r="B39" s="1" t="s">
        <v>47</v>
      </c>
      <c r="C39" s="1" t="s">
        <v>178</v>
      </c>
      <c r="D39" s="1" t="s">
        <v>49</v>
      </c>
      <c r="E39" s="1" t="s">
        <v>50</v>
      </c>
      <c r="F39" s="1" t="s">
        <v>174</v>
      </c>
      <c r="G39" s="1" t="s">
        <v>60</v>
      </c>
      <c r="H39" s="21" t="n">
        <v>54505</v>
      </c>
      <c r="I39" s="21" t="n">
        <v>41289</v>
      </c>
      <c r="J39" s="21" t="n">
        <v>2558</v>
      </c>
      <c r="K39" s="21" t="n">
        <v>600</v>
      </c>
      <c r="L39" s="21" t="n">
        <v>190</v>
      </c>
      <c r="M39" s="21" t="n">
        <v>245</v>
      </c>
      <c r="N39" s="21" t="n">
        <v>4544</v>
      </c>
      <c r="O39" s="21" t="n">
        <v>2174</v>
      </c>
      <c r="P39" s="22" t="n">
        <v>8.7</v>
      </c>
      <c r="Q39" s="21" t="n">
        <v>171</v>
      </c>
      <c r="R39" s="22" t="n">
        <v>0.46</v>
      </c>
      <c r="S39" s="23" t="n">
        <v>8.2</v>
      </c>
      <c r="T39" s="1" t="s">
        <v>108</v>
      </c>
      <c r="U39" s="1" t="s">
        <v>98</v>
      </c>
      <c r="V39" s="21" t="n">
        <f aca="false">J39+K39+L39+M39</f>
        <v>3593</v>
      </c>
      <c r="W39" s="22" t="n">
        <f aca="false">ROUND(O39/I39*100,2)</f>
        <v>5.27</v>
      </c>
      <c r="X39" s="1" t="str">
        <f aca="false">IF(R39&gt;0.6,"Positive",IF(R39&lt;0.35,"Negative","Neutral"))</f>
        <v>Neutral</v>
      </c>
      <c r="Y39" s="24" t="n">
        <f aca="false">P39+(ROW()/10000000)</f>
        <v>8.7000039</v>
      </c>
    </row>
    <row r="40" customFormat="false" ht="15" hidden="false" customHeight="true" outlineLevel="0" collapsed="false">
      <c r="A40" s="1" t="s">
        <v>179</v>
      </c>
      <c r="B40" s="1" t="s">
        <v>72</v>
      </c>
      <c r="C40" s="1" t="s">
        <v>180</v>
      </c>
      <c r="D40" s="1" t="s">
        <v>103</v>
      </c>
      <c r="E40" s="1" t="s">
        <v>80</v>
      </c>
      <c r="F40" s="1" t="s">
        <v>181</v>
      </c>
      <c r="G40" s="1" t="s">
        <v>94</v>
      </c>
      <c r="H40" s="21" t="n">
        <v>26742</v>
      </c>
      <c r="I40" s="21" t="n">
        <v>17239</v>
      </c>
      <c r="J40" s="21" t="n">
        <v>3092</v>
      </c>
      <c r="K40" s="21" t="n">
        <v>553</v>
      </c>
      <c r="L40" s="21" t="n">
        <v>392</v>
      </c>
      <c r="M40" s="21" t="n">
        <v>192</v>
      </c>
      <c r="N40" s="21" t="n">
        <v>794</v>
      </c>
      <c r="O40" s="21" t="n">
        <v>443</v>
      </c>
      <c r="P40" s="22" t="n">
        <v>24.53</v>
      </c>
      <c r="Q40" s="21" t="n">
        <v>242</v>
      </c>
      <c r="R40" s="22" t="n">
        <v>0.34</v>
      </c>
      <c r="S40" s="23" t="n">
        <v>7.2</v>
      </c>
      <c r="T40" s="1" t="s">
        <v>70</v>
      </c>
      <c r="U40" s="1" t="s">
        <v>77</v>
      </c>
      <c r="V40" s="21" t="n">
        <f aca="false">J40+K40+L40+M40</f>
        <v>4229</v>
      </c>
      <c r="W40" s="22" t="n">
        <f aca="false">ROUND(O40/I40*100,2)</f>
        <v>2.57</v>
      </c>
      <c r="X40" s="1" t="str">
        <f aca="false">IF(R40&gt;0.6,"Positive",IF(R40&lt;0.35,"Negative","Neutral"))</f>
        <v>Negative</v>
      </c>
      <c r="Y40" s="24" t="n">
        <f aca="false">P40+(ROW()/10000000)</f>
        <v>24.530004</v>
      </c>
    </row>
    <row r="41" customFormat="false" ht="15" hidden="false" customHeight="true" outlineLevel="0" collapsed="false">
      <c r="A41" s="1" t="s">
        <v>182</v>
      </c>
      <c r="B41" s="1" t="s">
        <v>72</v>
      </c>
      <c r="C41" s="1" t="s">
        <v>135</v>
      </c>
      <c r="D41" s="1" t="s">
        <v>111</v>
      </c>
      <c r="E41" s="1" t="s">
        <v>74</v>
      </c>
      <c r="F41" s="1" t="s">
        <v>183</v>
      </c>
      <c r="G41" s="1" t="s">
        <v>128</v>
      </c>
      <c r="H41" s="21" t="n">
        <v>41118</v>
      </c>
      <c r="I41" s="21" t="n">
        <v>22789</v>
      </c>
      <c r="J41" s="21" t="n">
        <v>2237</v>
      </c>
      <c r="K41" s="21" t="n">
        <v>134</v>
      </c>
      <c r="L41" s="21" t="n">
        <v>142</v>
      </c>
      <c r="M41" s="21" t="n">
        <v>26</v>
      </c>
      <c r="N41" s="21" t="n">
        <v>233</v>
      </c>
      <c r="O41" s="21" t="n">
        <v>1133</v>
      </c>
      <c r="P41" s="22" t="n">
        <v>11.14</v>
      </c>
      <c r="Q41" s="21" t="n">
        <v>144</v>
      </c>
      <c r="R41" s="22" t="n">
        <v>0.69</v>
      </c>
      <c r="S41" s="23" t="n">
        <v>4.3</v>
      </c>
      <c r="T41" s="1" t="s">
        <v>140</v>
      </c>
      <c r="U41" s="1" t="s">
        <v>98</v>
      </c>
      <c r="V41" s="21" t="n">
        <f aca="false">J41+K41+L41+M41</f>
        <v>2539</v>
      </c>
      <c r="W41" s="22" t="n">
        <f aca="false">ROUND(O41/I41*100,2)</f>
        <v>4.97</v>
      </c>
      <c r="X41" s="1" t="str">
        <f aca="false">IF(R41&gt;0.6,"Positive",IF(R41&lt;0.35,"Negative","Neutral"))</f>
        <v>Positive</v>
      </c>
      <c r="Y41" s="24" t="n">
        <f aca="false">P41+(ROW()/10000000)</f>
        <v>11.1400041</v>
      </c>
    </row>
    <row r="42" customFormat="false" ht="15" hidden="false" customHeight="true" outlineLevel="0" collapsed="false">
      <c r="A42" s="1" t="s">
        <v>184</v>
      </c>
      <c r="B42" s="1" t="s">
        <v>64</v>
      </c>
      <c r="C42" s="1" t="s">
        <v>185</v>
      </c>
      <c r="D42" s="1" t="s">
        <v>58</v>
      </c>
      <c r="E42" s="1" t="s">
        <v>91</v>
      </c>
      <c r="F42" s="1" t="s">
        <v>127</v>
      </c>
      <c r="G42" s="1" t="s">
        <v>81</v>
      </c>
      <c r="H42" s="21" t="n">
        <v>25664</v>
      </c>
      <c r="I42" s="21" t="n">
        <v>21548</v>
      </c>
      <c r="J42" s="21" t="n">
        <v>1084</v>
      </c>
      <c r="K42" s="21" t="n">
        <v>249</v>
      </c>
      <c r="L42" s="21" t="n">
        <v>31</v>
      </c>
      <c r="M42" s="21" t="n">
        <v>213</v>
      </c>
      <c r="N42" s="21" t="n">
        <v>277</v>
      </c>
      <c r="O42" s="21" t="n">
        <v>820</v>
      </c>
      <c r="P42" s="22" t="n">
        <v>7.32</v>
      </c>
      <c r="Q42" s="21" t="n">
        <v>246</v>
      </c>
      <c r="R42" s="22" t="n">
        <v>0.16</v>
      </c>
      <c r="S42" s="23" t="n">
        <v>7.5</v>
      </c>
      <c r="T42" s="1" t="s">
        <v>152</v>
      </c>
      <c r="U42" s="1" t="s">
        <v>98</v>
      </c>
      <c r="V42" s="21" t="n">
        <f aca="false">J42+K42+L42+M42</f>
        <v>1577</v>
      </c>
      <c r="W42" s="22" t="n">
        <f aca="false">ROUND(O42/I42*100,2)</f>
        <v>3.81</v>
      </c>
      <c r="X42" s="1" t="str">
        <f aca="false">IF(R42&gt;0.6,"Positive",IF(R42&lt;0.35,"Negative","Neutral"))</f>
        <v>Negative</v>
      </c>
      <c r="Y42" s="24" t="n">
        <f aca="false">P42+(ROW()/10000000)</f>
        <v>7.3200042</v>
      </c>
    </row>
    <row r="43" customFormat="false" ht="15" hidden="false" customHeight="true" outlineLevel="0" collapsed="false">
      <c r="A43" s="1" t="s">
        <v>186</v>
      </c>
      <c r="B43" s="1" t="s">
        <v>47</v>
      </c>
      <c r="C43" s="1" t="s">
        <v>187</v>
      </c>
      <c r="D43" s="1" t="s">
        <v>111</v>
      </c>
      <c r="E43" s="1" t="s">
        <v>67</v>
      </c>
      <c r="F43" s="1" t="s">
        <v>97</v>
      </c>
      <c r="G43" s="1" t="s">
        <v>94</v>
      </c>
      <c r="H43" s="21" t="n">
        <v>56048</v>
      </c>
      <c r="I43" s="21" t="n">
        <v>41021</v>
      </c>
      <c r="J43" s="21" t="n">
        <v>6527</v>
      </c>
      <c r="K43" s="21" t="n">
        <v>1271</v>
      </c>
      <c r="L43" s="21" t="n">
        <v>233</v>
      </c>
      <c r="M43" s="21" t="n">
        <v>1073</v>
      </c>
      <c r="N43" s="21" t="n">
        <v>3126</v>
      </c>
      <c r="O43" s="21" t="n">
        <v>1845</v>
      </c>
      <c r="P43" s="22" t="n">
        <v>22.19</v>
      </c>
      <c r="Q43" s="21" t="n">
        <v>221</v>
      </c>
      <c r="R43" s="22" t="n">
        <v>0.35</v>
      </c>
      <c r="S43" s="23" t="n">
        <v>7.2</v>
      </c>
      <c r="T43" s="1" t="s">
        <v>140</v>
      </c>
      <c r="U43" s="1" t="s">
        <v>88</v>
      </c>
      <c r="V43" s="21" t="n">
        <f aca="false">J43+K43+L43+M43</f>
        <v>9104</v>
      </c>
      <c r="W43" s="22" t="n">
        <f aca="false">ROUND(O43/I43*100,2)</f>
        <v>4.5</v>
      </c>
      <c r="X43" s="1" t="str">
        <f aca="false">IF(R43&gt;0.6,"Positive",IF(R43&lt;0.35,"Negative","Neutral"))</f>
        <v>Neutral</v>
      </c>
      <c r="Y43" s="24" t="n">
        <f aca="false">P43+(ROW()/10000000)</f>
        <v>22.1900043</v>
      </c>
    </row>
    <row r="44" customFormat="false" ht="15" hidden="false" customHeight="true" outlineLevel="0" collapsed="false">
      <c r="A44" s="1" t="s">
        <v>188</v>
      </c>
      <c r="B44" s="1" t="s">
        <v>56</v>
      </c>
      <c r="C44" s="1" t="s">
        <v>189</v>
      </c>
      <c r="D44" s="1" t="s">
        <v>85</v>
      </c>
      <c r="E44" s="1" t="s">
        <v>80</v>
      </c>
      <c r="F44" s="1" t="s">
        <v>120</v>
      </c>
      <c r="G44" s="1" t="s">
        <v>52</v>
      </c>
      <c r="H44" s="21" t="n">
        <v>88063</v>
      </c>
      <c r="I44" s="21" t="n">
        <v>50579</v>
      </c>
      <c r="J44" s="21" t="n">
        <v>3979</v>
      </c>
      <c r="K44" s="21" t="n">
        <v>182</v>
      </c>
      <c r="L44" s="21" t="n">
        <v>567</v>
      </c>
      <c r="M44" s="21" t="n">
        <v>79</v>
      </c>
      <c r="N44" s="21" t="n">
        <v>1292</v>
      </c>
      <c r="O44" s="21" t="n">
        <v>10</v>
      </c>
      <c r="P44" s="22" t="n">
        <v>9.5</v>
      </c>
      <c r="Q44" s="21" t="n">
        <v>204</v>
      </c>
      <c r="R44" s="22" t="n">
        <v>0.48</v>
      </c>
      <c r="S44" s="23" t="n">
        <v>7.2</v>
      </c>
      <c r="T44" s="1" t="s">
        <v>53</v>
      </c>
      <c r="U44" s="1" t="s">
        <v>98</v>
      </c>
      <c r="V44" s="21" t="n">
        <f aca="false">J44+K44+L44+M44</f>
        <v>4807</v>
      </c>
      <c r="W44" s="22" t="n">
        <f aca="false">ROUND(O44/I44*100,2)</f>
        <v>0.02</v>
      </c>
      <c r="X44" s="1" t="str">
        <f aca="false">IF(R44&gt;0.6,"Positive",IF(R44&lt;0.35,"Negative","Neutral"))</f>
        <v>Neutral</v>
      </c>
      <c r="Y44" s="24" t="n">
        <f aca="false">P44+(ROW()/10000000)</f>
        <v>9.5000044</v>
      </c>
    </row>
    <row r="45" customFormat="false" ht="15" hidden="false" customHeight="true" outlineLevel="0" collapsed="false">
      <c r="A45" s="1" t="s">
        <v>190</v>
      </c>
      <c r="B45" s="1" t="s">
        <v>72</v>
      </c>
      <c r="C45" s="1" t="s">
        <v>191</v>
      </c>
      <c r="D45" s="1" t="s">
        <v>85</v>
      </c>
      <c r="E45" s="1" t="s">
        <v>91</v>
      </c>
      <c r="F45" s="1" t="s">
        <v>68</v>
      </c>
      <c r="G45" s="1" t="s">
        <v>52</v>
      </c>
      <c r="H45" s="21" t="n">
        <v>91596</v>
      </c>
      <c r="I45" s="21" t="n">
        <v>56792</v>
      </c>
      <c r="J45" s="21" t="n">
        <v>4384</v>
      </c>
      <c r="K45" s="21" t="n">
        <v>410</v>
      </c>
      <c r="L45" s="21" t="n">
        <v>437</v>
      </c>
      <c r="M45" s="21" t="n">
        <v>120</v>
      </c>
      <c r="N45" s="21" t="n">
        <v>4471</v>
      </c>
      <c r="O45" s="21" t="n">
        <v>920</v>
      </c>
      <c r="P45" s="22" t="n">
        <v>9.42</v>
      </c>
      <c r="Q45" s="21" t="n">
        <v>71</v>
      </c>
      <c r="R45" s="22" t="n">
        <v>0.87</v>
      </c>
      <c r="S45" s="23" t="n">
        <v>8.7</v>
      </c>
      <c r="T45" s="1" t="s">
        <v>152</v>
      </c>
      <c r="U45" s="1" t="s">
        <v>98</v>
      </c>
      <c r="V45" s="21" t="n">
        <f aca="false">J45+K45+L45+M45</f>
        <v>5351</v>
      </c>
      <c r="W45" s="22" t="n">
        <f aca="false">ROUND(O45/I45*100,2)</f>
        <v>1.62</v>
      </c>
      <c r="X45" s="1" t="str">
        <f aca="false">IF(R45&gt;0.6,"Positive",IF(R45&lt;0.35,"Negative","Neutral"))</f>
        <v>Positive</v>
      </c>
      <c r="Y45" s="24" t="n">
        <f aca="false">P45+(ROW()/10000000)</f>
        <v>9.4200045</v>
      </c>
    </row>
    <row r="46" customFormat="false" ht="15" hidden="false" customHeight="true" outlineLevel="0" collapsed="false">
      <c r="A46" s="1" t="s">
        <v>192</v>
      </c>
      <c r="B46" s="1" t="s">
        <v>72</v>
      </c>
      <c r="C46" s="1" t="s">
        <v>193</v>
      </c>
      <c r="D46" s="1" t="s">
        <v>58</v>
      </c>
      <c r="E46" s="1" t="s">
        <v>67</v>
      </c>
      <c r="F46" s="1" t="s">
        <v>174</v>
      </c>
      <c r="G46" s="1" t="s">
        <v>94</v>
      </c>
      <c r="H46" s="21" t="n">
        <v>91766</v>
      </c>
      <c r="I46" s="21" t="n">
        <v>58842</v>
      </c>
      <c r="J46" s="21" t="n">
        <v>6644</v>
      </c>
      <c r="K46" s="21" t="n">
        <v>562</v>
      </c>
      <c r="L46" s="21" t="n">
        <v>514</v>
      </c>
      <c r="M46" s="21" t="n">
        <v>1108</v>
      </c>
      <c r="N46" s="21" t="n">
        <v>4055</v>
      </c>
      <c r="O46" s="21" t="n">
        <v>1793</v>
      </c>
      <c r="P46" s="22" t="n">
        <v>15</v>
      </c>
      <c r="Q46" s="21" t="n">
        <v>36</v>
      </c>
      <c r="R46" s="22" t="n">
        <v>0.61</v>
      </c>
      <c r="S46" s="23" t="n">
        <v>9.1</v>
      </c>
      <c r="T46" s="1" t="s">
        <v>140</v>
      </c>
      <c r="U46" s="1" t="s">
        <v>88</v>
      </c>
      <c r="V46" s="21" t="n">
        <f aca="false">J46+K46+L46+M46</f>
        <v>8828</v>
      </c>
      <c r="W46" s="22" t="n">
        <f aca="false">ROUND(O46/I46*100,2)</f>
        <v>3.05</v>
      </c>
      <c r="X46" s="1" t="str">
        <f aca="false">IF(R46&gt;0.6,"Positive",IF(R46&lt;0.35,"Negative","Neutral"))</f>
        <v>Positive</v>
      </c>
      <c r="Y46" s="24" t="n">
        <f aca="false">P46+(ROW()/10000000)</f>
        <v>15.0000046</v>
      </c>
    </row>
    <row r="47" customFormat="false" ht="15" hidden="false" customHeight="true" outlineLevel="0" collapsed="false">
      <c r="A47" s="1" t="s">
        <v>194</v>
      </c>
      <c r="B47" s="1" t="s">
        <v>56</v>
      </c>
      <c r="C47" s="1" t="s">
        <v>195</v>
      </c>
      <c r="D47" s="1" t="s">
        <v>85</v>
      </c>
      <c r="E47" s="1" t="s">
        <v>133</v>
      </c>
      <c r="F47" s="1" t="s">
        <v>68</v>
      </c>
      <c r="G47" s="1" t="s">
        <v>121</v>
      </c>
      <c r="H47" s="21" t="n">
        <v>36825</v>
      </c>
      <c r="I47" s="21" t="n">
        <v>26619</v>
      </c>
      <c r="J47" s="21" t="n">
        <v>1485</v>
      </c>
      <c r="K47" s="21" t="n">
        <v>245</v>
      </c>
      <c r="L47" s="21" t="n">
        <v>134</v>
      </c>
      <c r="M47" s="21" t="n">
        <v>229</v>
      </c>
      <c r="N47" s="21" t="n">
        <v>1149</v>
      </c>
      <c r="O47" s="21" t="n">
        <v>371</v>
      </c>
      <c r="P47" s="22" t="n">
        <v>7.86</v>
      </c>
      <c r="Q47" s="21" t="n">
        <v>294</v>
      </c>
      <c r="R47" s="22" t="n">
        <v>0.47</v>
      </c>
      <c r="S47" s="23" t="n">
        <v>8.6</v>
      </c>
      <c r="T47" s="1" t="s">
        <v>122</v>
      </c>
      <c r="U47" s="1" t="s">
        <v>54</v>
      </c>
      <c r="V47" s="21" t="n">
        <f aca="false">J47+K47+L47+M47</f>
        <v>2093</v>
      </c>
      <c r="W47" s="22" t="n">
        <f aca="false">ROUND(O47/I47*100,2)</f>
        <v>1.39</v>
      </c>
      <c r="X47" s="1" t="str">
        <f aca="false">IF(R47&gt;0.6,"Positive",IF(R47&lt;0.35,"Negative","Neutral"))</f>
        <v>Neutral</v>
      </c>
      <c r="Y47" s="24" t="n">
        <f aca="false">P47+(ROW()/10000000)</f>
        <v>7.8600047</v>
      </c>
    </row>
    <row r="48" customFormat="false" ht="15" hidden="false" customHeight="true" outlineLevel="0" collapsed="false">
      <c r="A48" s="1" t="s">
        <v>196</v>
      </c>
      <c r="B48" s="1" t="s">
        <v>72</v>
      </c>
      <c r="C48" s="1" t="s">
        <v>197</v>
      </c>
      <c r="D48" s="1" t="s">
        <v>103</v>
      </c>
      <c r="E48" s="1" t="s">
        <v>67</v>
      </c>
      <c r="F48" s="1" t="s">
        <v>151</v>
      </c>
      <c r="G48" s="1" t="s">
        <v>76</v>
      </c>
      <c r="H48" s="21" t="n">
        <v>44728</v>
      </c>
      <c r="I48" s="21" t="n">
        <v>30124</v>
      </c>
      <c r="J48" s="21" t="n">
        <v>4108</v>
      </c>
      <c r="K48" s="21" t="n">
        <v>300</v>
      </c>
      <c r="L48" s="21" t="n">
        <v>412</v>
      </c>
      <c r="M48" s="21" t="n">
        <v>781</v>
      </c>
      <c r="N48" s="21" t="n">
        <v>2263</v>
      </c>
      <c r="O48" s="21" t="n">
        <v>75</v>
      </c>
      <c r="P48" s="22" t="n">
        <v>18.59</v>
      </c>
      <c r="Q48" s="21" t="n">
        <v>227</v>
      </c>
      <c r="R48" s="22" t="n">
        <v>0.17</v>
      </c>
      <c r="S48" s="23" t="n">
        <v>5.1</v>
      </c>
      <c r="T48" s="1" t="s">
        <v>140</v>
      </c>
      <c r="U48" s="1" t="s">
        <v>113</v>
      </c>
      <c r="V48" s="21" t="n">
        <f aca="false">J48+K48+L48+M48</f>
        <v>5601</v>
      </c>
      <c r="W48" s="22" t="n">
        <f aca="false">ROUND(O48/I48*100,2)</f>
        <v>0.25</v>
      </c>
      <c r="X48" s="1" t="str">
        <f aca="false">IF(R48&gt;0.6,"Positive",IF(R48&lt;0.35,"Negative","Neutral"))</f>
        <v>Negative</v>
      </c>
      <c r="Y48" s="24" t="n">
        <f aca="false">P48+(ROW()/10000000)</f>
        <v>18.5900048</v>
      </c>
    </row>
    <row r="49" customFormat="false" ht="15" hidden="false" customHeight="true" outlineLevel="0" collapsed="false">
      <c r="A49" s="1" t="s">
        <v>198</v>
      </c>
      <c r="B49" s="1" t="s">
        <v>64</v>
      </c>
      <c r="C49" s="1" t="s">
        <v>199</v>
      </c>
      <c r="D49" s="1" t="s">
        <v>49</v>
      </c>
      <c r="E49" s="1" t="s">
        <v>80</v>
      </c>
      <c r="F49" s="1" t="s">
        <v>151</v>
      </c>
      <c r="G49" s="1" t="s">
        <v>52</v>
      </c>
      <c r="H49" s="21" t="n">
        <v>48919</v>
      </c>
      <c r="I49" s="21" t="n">
        <v>36043</v>
      </c>
      <c r="J49" s="21" t="n">
        <v>4133</v>
      </c>
      <c r="K49" s="21" t="n">
        <v>910</v>
      </c>
      <c r="L49" s="21" t="n">
        <v>54</v>
      </c>
      <c r="M49" s="21" t="n">
        <v>211</v>
      </c>
      <c r="N49" s="21" t="n">
        <v>2197</v>
      </c>
      <c r="O49" s="21" t="n">
        <v>536</v>
      </c>
      <c r="P49" s="22" t="n">
        <v>14.73</v>
      </c>
      <c r="Q49" s="21" t="n">
        <v>142</v>
      </c>
      <c r="R49" s="22" t="n">
        <v>0.47</v>
      </c>
      <c r="S49" s="23" t="n">
        <v>7.9</v>
      </c>
      <c r="T49" s="1" t="s">
        <v>53</v>
      </c>
      <c r="U49" s="1" t="s">
        <v>82</v>
      </c>
      <c r="V49" s="21" t="n">
        <f aca="false">J49+K49+L49+M49</f>
        <v>5308</v>
      </c>
      <c r="W49" s="22" t="n">
        <f aca="false">ROUND(O49/I49*100,2)</f>
        <v>1.49</v>
      </c>
      <c r="X49" s="1" t="str">
        <f aca="false">IF(R49&gt;0.6,"Positive",IF(R49&lt;0.35,"Negative","Neutral"))</f>
        <v>Neutral</v>
      </c>
      <c r="Y49" s="24" t="n">
        <f aca="false">P49+(ROW()/10000000)</f>
        <v>14.7300049</v>
      </c>
    </row>
    <row r="50" customFormat="false" ht="15" hidden="false" customHeight="true" outlineLevel="0" collapsed="false">
      <c r="A50" s="1" t="s">
        <v>200</v>
      </c>
      <c r="B50" s="1" t="s">
        <v>72</v>
      </c>
      <c r="C50" s="1" t="s">
        <v>201</v>
      </c>
      <c r="D50" s="1" t="s">
        <v>66</v>
      </c>
      <c r="E50" s="1" t="s">
        <v>133</v>
      </c>
      <c r="F50" s="1" t="s">
        <v>167</v>
      </c>
      <c r="G50" s="1" t="s">
        <v>76</v>
      </c>
      <c r="H50" s="21" t="n">
        <v>54976</v>
      </c>
      <c r="I50" s="21" t="n">
        <v>31774</v>
      </c>
      <c r="J50" s="21" t="n">
        <v>979</v>
      </c>
      <c r="K50" s="21" t="n">
        <v>123</v>
      </c>
      <c r="L50" s="21" t="n">
        <v>32</v>
      </c>
      <c r="M50" s="21" t="n">
        <v>168</v>
      </c>
      <c r="N50" s="21" t="n">
        <v>3418</v>
      </c>
      <c r="O50" s="21" t="n">
        <v>315</v>
      </c>
      <c r="P50" s="22" t="n">
        <v>4.1</v>
      </c>
      <c r="Q50" s="21" t="n">
        <v>250</v>
      </c>
      <c r="R50" s="22" t="n">
        <v>0.89</v>
      </c>
      <c r="S50" s="23" t="n">
        <v>5.3</v>
      </c>
      <c r="T50" s="1" t="s">
        <v>108</v>
      </c>
      <c r="U50" s="1" t="s">
        <v>113</v>
      </c>
      <c r="V50" s="21" t="n">
        <f aca="false">J50+K50+L50+M50</f>
        <v>1302</v>
      </c>
      <c r="W50" s="22" t="n">
        <f aca="false">ROUND(O50/I50*100,2)</f>
        <v>0.99</v>
      </c>
      <c r="X50" s="1" t="str">
        <f aca="false">IF(R50&gt;0.6,"Positive",IF(R50&lt;0.35,"Negative","Neutral"))</f>
        <v>Positive</v>
      </c>
      <c r="Y50" s="24" t="n">
        <f aca="false">P50+(ROW()/10000000)</f>
        <v>4.100005</v>
      </c>
    </row>
    <row r="51" customFormat="false" ht="15" hidden="false" customHeight="true" outlineLevel="0" collapsed="false">
      <c r="A51" s="1" t="s">
        <v>202</v>
      </c>
      <c r="B51" s="1" t="s">
        <v>56</v>
      </c>
      <c r="C51" s="1" t="s">
        <v>203</v>
      </c>
      <c r="D51" s="1" t="s">
        <v>58</v>
      </c>
      <c r="E51" s="1" t="s">
        <v>163</v>
      </c>
      <c r="F51" s="1" t="s">
        <v>120</v>
      </c>
      <c r="G51" s="1" t="s">
        <v>121</v>
      </c>
      <c r="H51" s="21" t="n">
        <v>26483</v>
      </c>
      <c r="I51" s="21" t="n">
        <v>21889</v>
      </c>
      <c r="J51" s="21" t="n">
        <v>2131</v>
      </c>
      <c r="K51" s="21" t="n">
        <v>144</v>
      </c>
      <c r="L51" s="21" t="n">
        <v>37</v>
      </c>
      <c r="M51" s="21" t="n">
        <v>144</v>
      </c>
      <c r="N51" s="21" t="n">
        <v>1709</v>
      </c>
      <c r="O51" s="21" t="n">
        <v>696</v>
      </c>
      <c r="P51" s="22" t="n">
        <v>11.22</v>
      </c>
      <c r="Q51" s="21" t="n">
        <v>254</v>
      </c>
      <c r="R51" s="22" t="n">
        <v>0.33</v>
      </c>
      <c r="S51" s="23" t="n">
        <v>3.5</v>
      </c>
      <c r="T51" s="1" t="s">
        <v>152</v>
      </c>
      <c r="U51" s="1" t="s">
        <v>113</v>
      </c>
      <c r="V51" s="21" t="n">
        <f aca="false">J51+K51+L51+M51</f>
        <v>2456</v>
      </c>
      <c r="W51" s="22" t="n">
        <f aca="false">ROUND(O51/I51*100,2)</f>
        <v>3.18</v>
      </c>
      <c r="X51" s="1" t="str">
        <f aca="false">IF(R51&gt;0.6,"Positive",IF(R51&lt;0.35,"Negative","Neutral"))</f>
        <v>Negative</v>
      </c>
      <c r="Y51" s="24" t="n">
        <f aca="false">P51+(ROW()/10000000)</f>
        <v>11.2200051</v>
      </c>
    </row>
    <row r="52" customFormat="false" ht="15" hidden="false" customHeight="true" outlineLevel="0" collapsed="false">
      <c r="A52" s="1" t="s">
        <v>204</v>
      </c>
      <c r="B52" s="1" t="s">
        <v>64</v>
      </c>
      <c r="C52" s="1" t="s">
        <v>201</v>
      </c>
      <c r="D52" s="1" t="s">
        <v>103</v>
      </c>
      <c r="E52" s="1" t="s">
        <v>74</v>
      </c>
      <c r="F52" s="1" t="s">
        <v>174</v>
      </c>
      <c r="G52" s="1" t="s">
        <v>121</v>
      </c>
      <c r="H52" s="21" t="n">
        <v>72728</v>
      </c>
      <c r="I52" s="21" t="n">
        <v>48230</v>
      </c>
      <c r="J52" s="21" t="n">
        <v>5322</v>
      </c>
      <c r="K52" s="21" t="n">
        <v>391</v>
      </c>
      <c r="L52" s="21" t="n">
        <v>716</v>
      </c>
      <c r="M52" s="21" t="n">
        <v>492</v>
      </c>
      <c r="N52" s="21" t="n">
        <v>4694</v>
      </c>
      <c r="O52" s="21" t="n">
        <v>1568</v>
      </c>
      <c r="P52" s="22" t="n">
        <v>14.35</v>
      </c>
      <c r="Q52" s="21" t="n">
        <v>114</v>
      </c>
      <c r="R52" s="22" t="n">
        <v>0.83</v>
      </c>
      <c r="S52" s="23" t="n">
        <v>6.1</v>
      </c>
      <c r="T52" s="1" t="s">
        <v>87</v>
      </c>
      <c r="U52" s="1" t="s">
        <v>54</v>
      </c>
      <c r="V52" s="21" t="n">
        <f aca="false">J52+K52+L52+M52</f>
        <v>6921</v>
      </c>
      <c r="W52" s="22" t="n">
        <f aca="false">ROUND(O52/I52*100,2)</f>
        <v>3.25</v>
      </c>
      <c r="X52" s="1" t="str">
        <f aca="false">IF(R52&gt;0.6,"Positive",IF(R52&lt;0.35,"Negative","Neutral"))</f>
        <v>Positive</v>
      </c>
      <c r="Y52" s="24" t="n">
        <f aca="false">P52+(ROW()/10000000)</f>
        <v>14.3500052</v>
      </c>
    </row>
    <row r="53" customFormat="false" ht="15" hidden="false" customHeight="true" outlineLevel="0" collapsed="false">
      <c r="A53" s="1" t="s">
        <v>205</v>
      </c>
      <c r="B53" s="1" t="s">
        <v>56</v>
      </c>
      <c r="C53" s="1" t="s">
        <v>206</v>
      </c>
      <c r="D53" s="1" t="s">
        <v>58</v>
      </c>
      <c r="E53" s="1" t="s">
        <v>133</v>
      </c>
      <c r="F53" s="1" t="s">
        <v>86</v>
      </c>
      <c r="G53" s="1" t="s">
        <v>128</v>
      </c>
      <c r="H53" s="21" t="n">
        <v>67336</v>
      </c>
      <c r="I53" s="21" t="n">
        <v>56535</v>
      </c>
      <c r="J53" s="21" t="n">
        <v>5489</v>
      </c>
      <c r="K53" s="21" t="n">
        <v>210</v>
      </c>
      <c r="L53" s="21" t="n">
        <v>452</v>
      </c>
      <c r="M53" s="21" t="n">
        <v>207</v>
      </c>
      <c r="N53" s="21" t="n">
        <v>4318</v>
      </c>
      <c r="O53" s="21" t="n">
        <v>1871</v>
      </c>
      <c r="P53" s="22" t="n">
        <v>11.25</v>
      </c>
      <c r="Q53" s="21" t="n">
        <v>2</v>
      </c>
      <c r="R53" s="22" t="n">
        <v>0.71</v>
      </c>
      <c r="S53" s="23" t="n">
        <v>6.1</v>
      </c>
      <c r="T53" s="1" t="s">
        <v>108</v>
      </c>
      <c r="U53" s="1" t="s">
        <v>98</v>
      </c>
      <c r="V53" s="21" t="n">
        <f aca="false">J53+K53+L53+M53</f>
        <v>6358</v>
      </c>
      <c r="W53" s="22" t="n">
        <f aca="false">ROUND(O53/I53*100,2)</f>
        <v>3.31</v>
      </c>
      <c r="X53" s="1" t="str">
        <f aca="false">IF(R53&gt;0.6,"Positive",IF(R53&lt;0.35,"Negative","Neutral"))</f>
        <v>Positive</v>
      </c>
      <c r="Y53" s="24" t="n">
        <f aca="false">P53+(ROW()/10000000)</f>
        <v>11.2500053</v>
      </c>
    </row>
    <row r="54" customFormat="false" ht="15" hidden="false" customHeight="true" outlineLevel="0" collapsed="false">
      <c r="A54" s="1" t="s">
        <v>207</v>
      </c>
      <c r="B54" s="1" t="s">
        <v>72</v>
      </c>
      <c r="C54" s="1" t="s">
        <v>208</v>
      </c>
      <c r="D54" s="1" t="s">
        <v>66</v>
      </c>
      <c r="E54" s="1" t="s">
        <v>106</v>
      </c>
      <c r="F54" s="1" t="s">
        <v>120</v>
      </c>
      <c r="G54" s="1" t="s">
        <v>69</v>
      </c>
      <c r="H54" s="21" t="n">
        <v>12027</v>
      </c>
      <c r="I54" s="21" t="n">
        <v>9688</v>
      </c>
      <c r="J54" s="21" t="n">
        <v>1431</v>
      </c>
      <c r="K54" s="21" t="n">
        <v>278</v>
      </c>
      <c r="L54" s="21" t="n">
        <v>99</v>
      </c>
      <c r="M54" s="21" t="n">
        <v>165</v>
      </c>
      <c r="N54" s="21" t="n">
        <v>1009</v>
      </c>
      <c r="O54" s="21" t="n">
        <v>554</v>
      </c>
      <c r="P54" s="22" t="n">
        <v>20.37</v>
      </c>
      <c r="Q54" s="21" t="n">
        <v>13</v>
      </c>
      <c r="R54" s="22" t="n">
        <v>0.62</v>
      </c>
      <c r="S54" s="23" t="n">
        <v>5</v>
      </c>
      <c r="T54" s="1" t="s">
        <v>70</v>
      </c>
      <c r="U54" s="1" t="s">
        <v>54</v>
      </c>
      <c r="V54" s="21" t="n">
        <f aca="false">J54+K54+L54+M54</f>
        <v>1973</v>
      </c>
      <c r="W54" s="22" t="n">
        <f aca="false">ROUND(O54/I54*100,2)</f>
        <v>5.72</v>
      </c>
      <c r="X54" s="1" t="str">
        <f aca="false">IF(R54&gt;0.6,"Positive",IF(R54&lt;0.35,"Negative","Neutral"))</f>
        <v>Positive</v>
      </c>
      <c r="Y54" s="24" t="n">
        <f aca="false">P54+(ROW()/10000000)</f>
        <v>20.3700054</v>
      </c>
    </row>
    <row r="55" customFormat="false" ht="15" hidden="false" customHeight="true" outlineLevel="0" collapsed="false">
      <c r="A55" s="1" t="s">
        <v>209</v>
      </c>
      <c r="B55" s="1" t="s">
        <v>47</v>
      </c>
      <c r="C55" s="1" t="s">
        <v>210</v>
      </c>
      <c r="D55" s="1" t="s">
        <v>85</v>
      </c>
      <c r="E55" s="1" t="s">
        <v>67</v>
      </c>
      <c r="F55" s="1" t="s">
        <v>181</v>
      </c>
      <c r="G55" s="1" t="s">
        <v>76</v>
      </c>
      <c r="H55" s="21" t="n">
        <v>23305</v>
      </c>
      <c r="I55" s="21" t="n">
        <v>17669</v>
      </c>
      <c r="J55" s="21" t="n">
        <v>168</v>
      </c>
      <c r="K55" s="21" t="n">
        <v>7</v>
      </c>
      <c r="L55" s="21" t="n">
        <v>12</v>
      </c>
      <c r="M55" s="21" t="n">
        <v>28</v>
      </c>
      <c r="N55" s="21" t="n">
        <v>239</v>
      </c>
      <c r="O55" s="21" t="n">
        <v>600</v>
      </c>
      <c r="P55" s="22" t="n">
        <v>1.22</v>
      </c>
      <c r="Q55" s="21" t="n">
        <v>178</v>
      </c>
      <c r="R55" s="22" t="n">
        <v>0.42</v>
      </c>
      <c r="S55" s="23" t="n">
        <v>4.4</v>
      </c>
      <c r="T55" s="1" t="s">
        <v>152</v>
      </c>
      <c r="U55" s="1" t="s">
        <v>82</v>
      </c>
      <c r="V55" s="21" t="n">
        <f aca="false">J55+K55+L55+M55</f>
        <v>215</v>
      </c>
      <c r="W55" s="22" t="n">
        <f aca="false">ROUND(O55/I55*100,2)</f>
        <v>3.4</v>
      </c>
      <c r="X55" s="1" t="str">
        <f aca="false">IF(R55&gt;0.6,"Positive",IF(R55&lt;0.35,"Negative","Neutral"))</f>
        <v>Neutral</v>
      </c>
      <c r="Y55" s="24" t="n">
        <f aca="false">P55+(ROW()/10000000)</f>
        <v>1.2200055</v>
      </c>
    </row>
    <row r="56" customFormat="false" ht="15" hidden="false" customHeight="true" outlineLevel="0" collapsed="false">
      <c r="A56" s="1" t="s">
        <v>211</v>
      </c>
      <c r="B56" s="1" t="s">
        <v>56</v>
      </c>
      <c r="C56" s="1" t="s">
        <v>212</v>
      </c>
      <c r="D56" s="1" t="s">
        <v>49</v>
      </c>
      <c r="E56" s="1" t="s">
        <v>106</v>
      </c>
      <c r="F56" s="1" t="s">
        <v>75</v>
      </c>
      <c r="G56" s="1" t="s">
        <v>94</v>
      </c>
      <c r="H56" s="21" t="n">
        <v>91039</v>
      </c>
      <c r="I56" s="21" t="n">
        <v>56648</v>
      </c>
      <c r="J56" s="21" t="n">
        <v>9604</v>
      </c>
      <c r="K56" s="21" t="n">
        <v>591</v>
      </c>
      <c r="L56" s="21" t="n">
        <v>477</v>
      </c>
      <c r="M56" s="21" t="n">
        <v>947</v>
      </c>
      <c r="N56" s="21" t="n">
        <v>5235</v>
      </c>
      <c r="O56" s="21" t="n">
        <v>1040</v>
      </c>
      <c r="P56" s="22" t="n">
        <v>20.51</v>
      </c>
      <c r="Q56" s="21" t="n">
        <v>230</v>
      </c>
      <c r="R56" s="22" t="n">
        <v>0.32</v>
      </c>
      <c r="S56" s="23" t="n">
        <v>3.6</v>
      </c>
      <c r="T56" s="1" t="s">
        <v>152</v>
      </c>
      <c r="U56" s="1" t="s">
        <v>88</v>
      </c>
      <c r="V56" s="21" t="n">
        <f aca="false">J56+K56+L56+M56</f>
        <v>11619</v>
      </c>
      <c r="W56" s="22" t="n">
        <f aca="false">ROUND(O56/I56*100,2)</f>
        <v>1.84</v>
      </c>
      <c r="X56" s="1" t="str">
        <f aca="false">IF(R56&gt;0.6,"Positive",IF(R56&lt;0.35,"Negative","Neutral"))</f>
        <v>Negative</v>
      </c>
      <c r="Y56" s="24" t="n">
        <f aca="false">P56+(ROW()/10000000)</f>
        <v>20.5100056</v>
      </c>
    </row>
    <row r="57" customFormat="false" ht="15" hidden="false" customHeight="true" outlineLevel="0" collapsed="false">
      <c r="A57" s="1" t="s">
        <v>213</v>
      </c>
      <c r="B57" s="1" t="s">
        <v>64</v>
      </c>
      <c r="C57" s="1" t="s">
        <v>93</v>
      </c>
      <c r="D57" s="1" t="s">
        <v>103</v>
      </c>
      <c r="E57" s="1" t="s">
        <v>50</v>
      </c>
      <c r="F57" s="1" t="s">
        <v>214</v>
      </c>
      <c r="G57" s="1" t="s">
        <v>94</v>
      </c>
      <c r="H57" s="21" t="n">
        <v>57115</v>
      </c>
      <c r="I57" s="21" t="n">
        <v>43241</v>
      </c>
      <c r="J57" s="21" t="n">
        <v>3792</v>
      </c>
      <c r="K57" s="21" t="n">
        <v>870</v>
      </c>
      <c r="L57" s="21" t="n">
        <v>311</v>
      </c>
      <c r="M57" s="21" t="n">
        <v>206</v>
      </c>
      <c r="N57" s="21" t="n">
        <v>3161</v>
      </c>
      <c r="O57" s="21" t="n">
        <v>1979</v>
      </c>
      <c r="P57" s="22" t="n">
        <v>11.98</v>
      </c>
      <c r="Q57" s="21" t="n">
        <v>49</v>
      </c>
      <c r="R57" s="22" t="n">
        <v>0.3</v>
      </c>
      <c r="S57" s="23" t="n">
        <v>7.1</v>
      </c>
      <c r="T57" s="1" t="s">
        <v>61</v>
      </c>
      <c r="U57" s="1" t="s">
        <v>62</v>
      </c>
      <c r="V57" s="21" t="n">
        <f aca="false">J57+K57+L57+M57</f>
        <v>5179</v>
      </c>
      <c r="W57" s="22" t="n">
        <f aca="false">ROUND(O57/I57*100,2)</f>
        <v>4.58</v>
      </c>
      <c r="X57" s="1" t="str">
        <f aca="false">IF(R57&gt;0.6,"Positive",IF(R57&lt;0.35,"Negative","Neutral"))</f>
        <v>Negative</v>
      </c>
      <c r="Y57" s="24" t="n">
        <f aca="false">P57+(ROW()/10000000)</f>
        <v>11.9800057</v>
      </c>
    </row>
    <row r="58" customFormat="false" ht="15" hidden="false" customHeight="true" outlineLevel="0" collapsed="false">
      <c r="A58" s="1" t="s">
        <v>215</v>
      </c>
      <c r="B58" s="1" t="s">
        <v>64</v>
      </c>
      <c r="C58" s="1" t="s">
        <v>216</v>
      </c>
      <c r="D58" s="1" t="s">
        <v>103</v>
      </c>
      <c r="E58" s="1" t="s">
        <v>133</v>
      </c>
      <c r="F58" s="1" t="s">
        <v>107</v>
      </c>
      <c r="G58" s="1" t="s">
        <v>94</v>
      </c>
      <c r="H58" s="21" t="n">
        <v>91389</v>
      </c>
      <c r="I58" s="21" t="n">
        <v>71602</v>
      </c>
      <c r="J58" s="21" t="n">
        <v>853</v>
      </c>
      <c r="K58" s="21" t="n">
        <v>160</v>
      </c>
      <c r="L58" s="21" t="n">
        <v>97</v>
      </c>
      <c r="M58" s="21" t="n">
        <v>130</v>
      </c>
      <c r="N58" s="21" t="n">
        <v>4699</v>
      </c>
      <c r="O58" s="21" t="n">
        <v>1885</v>
      </c>
      <c r="P58" s="22" t="n">
        <v>1.73</v>
      </c>
      <c r="Q58" s="21" t="n">
        <v>305</v>
      </c>
      <c r="R58" s="22" t="n">
        <v>0.78</v>
      </c>
      <c r="S58" s="23" t="n">
        <v>4.9</v>
      </c>
      <c r="T58" s="1" t="s">
        <v>152</v>
      </c>
      <c r="U58" s="1" t="s">
        <v>88</v>
      </c>
      <c r="V58" s="21" t="n">
        <f aca="false">J58+K58+L58+M58</f>
        <v>1240</v>
      </c>
      <c r="W58" s="22" t="n">
        <f aca="false">ROUND(O58/I58*100,2)</f>
        <v>2.63</v>
      </c>
      <c r="X58" s="1" t="str">
        <f aca="false">IF(R58&gt;0.6,"Positive",IF(R58&lt;0.35,"Negative","Neutral"))</f>
        <v>Positive</v>
      </c>
      <c r="Y58" s="24" t="n">
        <f aca="false">P58+(ROW()/10000000)</f>
        <v>1.7300058</v>
      </c>
    </row>
    <row r="59" customFormat="false" ht="15" hidden="false" customHeight="true" outlineLevel="0" collapsed="false">
      <c r="A59" s="1" t="s">
        <v>217</v>
      </c>
      <c r="B59" s="1" t="s">
        <v>47</v>
      </c>
      <c r="C59" s="1" t="s">
        <v>218</v>
      </c>
      <c r="D59" s="1" t="s">
        <v>103</v>
      </c>
      <c r="E59" s="1" t="s">
        <v>91</v>
      </c>
      <c r="F59" s="1" t="s">
        <v>59</v>
      </c>
      <c r="G59" s="1" t="s">
        <v>94</v>
      </c>
      <c r="H59" s="21" t="n">
        <v>77465</v>
      </c>
      <c r="I59" s="21" t="n">
        <v>51084</v>
      </c>
      <c r="J59" s="21" t="n">
        <v>2203</v>
      </c>
      <c r="K59" s="21" t="n">
        <v>97</v>
      </c>
      <c r="L59" s="21" t="n">
        <v>153</v>
      </c>
      <c r="M59" s="21" t="n">
        <v>170</v>
      </c>
      <c r="N59" s="21" t="n">
        <v>3413</v>
      </c>
      <c r="O59" s="21" t="n">
        <v>719</v>
      </c>
      <c r="P59" s="22" t="n">
        <v>5.13</v>
      </c>
      <c r="Q59" s="21" t="n">
        <v>97</v>
      </c>
      <c r="R59" s="22" t="n">
        <v>0.21</v>
      </c>
      <c r="S59" s="23" t="n">
        <v>6.9</v>
      </c>
      <c r="T59" s="1" t="s">
        <v>152</v>
      </c>
      <c r="U59" s="1" t="s">
        <v>98</v>
      </c>
      <c r="V59" s="21" t="n">
        <f aca="false">J59+K59+L59+M59</f>
        <v>2623</v>
      </c>
      <c r="W59" s="22" t="n">
        <f aca="false">ROUND(O59/I59*100,2)</f>
        <v>1.41</v>
      </c>
      <c r="X59" s="1" t="str">
        <f aca="false">IF(R59&gt;0.6,"Positive",IF(R59&lt;0.35,"Negative","Neutral"))</f>
        <v>Negative</v>
      </c>
      <c r="Y59" s="24" t="n">
        <f aca="false">P59+(ROW()/10000000)</f>
        <v>5.1300059</v>
      </c>
    </row>
    <row r="60" customFormat="false" ht="15" hidden="false" customHeight="true" outlineLevel="0" collapsed="false">
      <c r="A60" s="1" t="s">
        <v>219</v>
      </c>
      <c r="B60" s="1" t="s">
        <v>64</v>
      </c>
      <c r="C60" s="1" t="s">
        <v>220</v>
      </c>
      <c r="D60" s="1" t="s">
        <v>103</v>
      </c>
      <c r="E60" s="1" t="s">
        <v>74</v>
      </c>
      <c r="F60" s="1" t="s">
        <v>164</v>
      </c>
      <c r="G60" s="1" t="s">
        <v>94</v>
      </c>
      <c r="H60" s="21" t="n">
        <v>62885</v>
      </c>
      <c r="I60" s="21" t="n">
        <v>52752</v>
      </c>
      <c r="J60" s="21" t="n">
        <v>2356</v>
      </c>
      <c r="K60" s="21" t="n">
        <v>236</v>
      </c>
      <c r="L60" s="21" t="n">
        <v>348</v>
      </c>
      <c r="M60" s="21" t="n">
        <v>373</v>
      </c>
      <c r="N60" s="21" t="n">
        <v>5534</v>
      </c>
      <c r="O60" s="21" t="n">
        <v>1627</v>
      </c>
      <c r="P60" s="22" t="n">
        <v>6.28</v>
      </c>
      <c r="Q60" s="21" t="n">
        <v>280</v>
      </c>
      <c r="R60" s="22" t="n">
        <v>0.41</v>
      </c>
      <c r="S60" s="23" t="n">
        <v>8.5</v>
      </c>
      <c r="T60" s="1" t="s">
        <v>70</v>
      </c>
      <c r="U60" s="1" t="s">
        <v>113</v>
      </c>
      <c r="V60" s="21" t="n">
        <f aca="false">J60+K60+L60+M60</f>
        <v>3313</v>
      </c>
      <c r="W60" s="22" t="n">
        <f aca="false">ROUND(O60/I60*100,2)</f>
        <v>3.08</v>
      </c>
      <c r="X60" s="1" t="str">
        <f aca="false">IF(R60&gt;0.6,"Positive",IF(R60&lt;0.35,"Negative","Neutral"))</f>
        <v>Neutral</v>
      </c>
      <c r="Y60" s="24" t="n">
        <f aca="false">P60+(ROW()/10000000)</f>
        <v>6.280006</v>
      </c>
    </row>
    <row r="61" customFormat="false" ht="15" hidden="false" customHeight="true" outlineLevel="0" collapsed="false">
      <c r="A61" s="1" t="s">
        <v>221</v>
      </c>
      <c r="B61" s="1" t="s">
        <v>72</v>
      </c>
      <c r="C61" s="1" t="s">
        <v>84</v>
      </c>
      <c r="D61" s="1" t="s">
        <v>85</v>
      </c>
      <c r="E61" s="1" t="s">
        <v>50</v>
      </c>
      <c r="F61" s="1" t="s">
        <v>51</v>
      </c>
      <c r="G61" s="1" t="s">
        <v>69</v>
      </c>
      <c r="H61" s="21" t="n">
        <v>51441</v>
      </c>
      <c r="I61" s="21" t="n">
        <v>40984</v>
      </c>
      <c r="J61" s="21" t="n">
        <v>3093</v>
      </c>
      <c r="K61" s="21" t="n">
        <v>115</v>
      </c>
      <c r="L61" s="21" t="n">
        <v>347</v>
      </c>
      <c r="M61" s="21" t="n">
        <v>242</v>
      </c>
      <c r="N61" s="21" t="n">
        <v>3872</v>
      </c>
      <c r="O61" s="21" t="n">
        <v>102</v>
      </c>
      <c r="P61" s="22" t="n">
        <v>9.26</v>
      </c>
      <c r="Q61" s="21" t="n">
        <v>312</v>
      </c>
      <c r="R61" s="22" t="n">
        <v>0.85</v>
      </c>
      <c r="S61" s="23" t="n">
        <v>7</v>
      </c>
      <c r="T61" s="1" t="s">
        <v>70</v>
      </c>
      <c r="U61" s="1" t="s">
        <v>113</v>
      </c>
      <c r="V61" s="21" t="n">
        <f aca="false">J61+K61+L61+M61</f>
        <v>3797</v>
      </c>
      <c r="W61" s="22" t="n">
        <f aca="false">ROUND(O61/I61*100,2)</f>
        <v>0.25</v>
      </c>
      <c r="X61" s="1" t="str">
        <f aca="false">IF(R61&gt;0.6,"Positive",IF(R61&lt;0.35,"Negative","Neutral"))</f>
        <v>Positive</v>
      </c>
      <c r="Y61" s="24" t="n">
        <f aca="false">P61+(ROW()/10000000)</f>
        <v>9.2600061</v>
      </c>
    </row>
    <row r="62" customFormat="false" ht="15" hidden="false" customHeight="true" outlineLevel="0" collapsed="false">
      <c r="A62" s="1" t="s">
        <v>222</v>
      </c>
      <c r="B62" s="1" t="s">
        <v>72</v>
      </c>
      <c r="C62" s="1" t="s">
        <v>223</v>
      </c>
      <c r="D62" s="1" t="s">
        <v>85</v>
      </c>
      <c r="E62" s="1" t="s">
        <v>106</v>
      </c>
      <c r="F62" s="1" t="s">
        <v>139</v>
      </c>
      <c r="G62" s="1" t="s">
        <v>76</v>
      </c>
      <c r="H62" s="21" t="n">
        <v>19820</v>
      </c>
      <c r="I62" s="21" t="n">
        <v>11170</v>
      </c>
      <c r="J62" s="21" t="n">
        <v>126</v>
      </c>
      <c r="K62" s="21" t="n">
        <v>14</v>
      </c>
      <c r="L62" s="21" t="n">
        <v>17</v>
      </c>
      <c r="M62" s="21" t="n">
        <v>6</v>
      </c>
      <c r="N62" s="21" t="n">
        <v>209</v>
      </c>
      <c r="O62" s="21" t="n">
        <v>240</v>
      </c>
      <c r="P62" s="22" t="n">
        <v>1.46</v>
      </c>
      <c r="Q62" s="21" t="n">
        <v>270</v>
      </c>
      <c r="R62" s="22" t="n">
        <v>0.22</v>
      </c>
      <c r="S62" s="23" t="n">
        <v>6.4</v>
      </c>
      <c r="T62" s="1" t="s">
        <v>152</v>
      </c>
      <c r="U62" s="1" t="s">
        <v>54</v>
      </c>
      <c r="V62" s="21" t="n">
        <f aca="false">J62+K62+L62+M62</f>
        <v>163</v>
      </c>
      <c r="W62" s="22" t="n">
        <f aca="false">ROUND(O62/I62*100,2)</f>
        <v>2.15</v>
      </c>
      <c r="X62" s="1" t="str">
        <f aca="false">IF(R62&gt;0.6,"Positive",IF(R62&lt;0.35,"Negative","Neutral"))</f>
        <v>Negative</v>
      </c>
      <c r="Y62" s="24" t="n">
        <f aca="false">P62+(ROW()/10000000)</f>
        <v>1.4600062</v>
      </c>
    </row>
    <row r="63" customFormat="false" ht="15" hidden="false" customHeight="true" outlineLevel="0" collapsed="false">
      <c r="A63" s="1" t="s">
        <v>224</v>
      </c>
      <c r="B63" s="1" t="s">
        <v>47</v>
      </c>
      <c r="C63" s="1" t="s">
        <v>225</v>
      </c>
      <c r="D63" s="1" t="s">
        <v>58</v>
      </c>
      <c r="E63" s="1" t="s">
        <v>106</v>
      </c>
      <c r="F63" s="1" t="s">
        <v>59</v>
      </c>
      <c r="G63" s="1" t="s">
        <v>52</v>
      </c>
      <c r="H63" s="21" t="n">
        <v>5788</v>
      </c>
      <c r="I63" s="21" t="n">
        <v>4382</v>
      </c>
      <c r="J63" s="21" t="n">
        <v>272</v>
      </c>
      <c r="K63" s="21" t="n">
        <v>61</v>
      </c>
      <c r="L63" s="21" t="n">
        <v>30</v>
      </c>
      <c r="M63" s="21" t="n">
        <v>18</v>
      </c>
      <c r="N63" s="21" t="n">
        <v>381</v>
      </c>
      <c r="O63" s="21" t="n">
        <v>50</v>
      </c>
      <c r="P63" s="22" t="n">
        <v>8.69</v>
      </c>
      <c r="Q63" s="21" t="n">
        <v>183</v>
      </c>
      <c r="R63" s="22" t="n">
        <v>0.56</v>
      </c>
      <c r="S63" s="23" t="n">
        <v>9.7</v>
      </c>
      <c r="T63" s="1" t="s">
        <v>87</v>
      </c>
      <c r="U63" s="1" t="s">
        <v>98</v>
      </c>
      <c r="V63" s="21" t="n">
        <f aca="false">J63+K63+L63+M63</f>
        <v>381</v>
      </c>
      <c r="W63" s="22" t="n">
        <f aca="false">ROUND(O63/I63*100,2)</f>
        <v>1.14</v>
      </c>
      <c r="X63" s="1" t="str">
        <f aca="false">IF(R63&gt;0.6,"Positive",IF(R63&lt;0.35,"Negative","Neutral"))</f>
        <v>Neutral</v>
      </c>
      <c r="Y63" s="24" t="n">
        <f aca="false">P63+(ROW()/10000000)</f>
        <v>8.6900063</v>
      </c>
    </row>
    <row r="64" customFormat="false" ht="15" hidden="false" customHeight="true" outlineLevel="0" collapsed="false">
      <c r="A64" s="1" t="s">
        <v>226</v>
      </c>
      <c r="B64" s="1" t="s">
        <v>56</v>
      </c>
      <c r="C64" s="1" t="s">
        <v>227</v>
      </c>
      <c r="D64" s="1" t="s">
        <v>49</v>
      </c>
      <c r="E64" s="1" t="s">
        <v>91</v>
      </c>
      <c r="F64" s="1" t="s">
        <v>139</v>
      </c>
      <c r="G64" s="1" t="s">
        <v>69</v>
      </c>
      <c r="H64" s="21" t="n">
        <v>88370</v>
      </c>
      <c r="I64" s="21" t="n">
        <v>54226</v>
      </c>
      <c r="J64" s="21" t="n">
        <v>399</v>
      </c>
      <c r="K64" s="21" t="n">
        <v>11</v>
      </c>
      <c r="L64" s="21" t="n">
        <v>52</v>
      </c>
      <c r="M64" s="21" t="n">
        <v>45</v>
      </c>
      <c r="N64" s="21" t="n">
        <v>2005</v>
      </c>
      <c r="O64" s="21" t="n">
        <v>515</v>
      </c>
      <c r="P64" s="22" t="n">
        <v>0.93</v>
      </c>
      <c r="Q64" s="21" t="n">
        <v>284</v>
      </c>
      <c r="R64" s="22" t="n">
        <v>0.27</v>
      </c>
      <c r="S64" s="23" t="n">
        <v>8.7</v>
      </c>
      <c r="T64" s="1" t="s">
        <v>53</v>
      </c>
      <c r="U64" s="1" t="s">
        <v>77</v>
      </c>
      <c r="V64" s="21" t="n">
        <f aca="false">J64+K64+L64+M64</f>
        <v>507</v>
      </c>
      <c r="W64" s="22" t="n">
        <f aca="false">ROUND(O64/I64*100,2)</f>
        <v>0.95</v>
      </c>
      <c r="X64" s="1" t="str">
        <f aca="false">IF(R64&gt;0.6,"Positive",IF(R64&lt;0.35,"Negative","Neutral"))</f>
        <v>Negative</v>
      </c>
      <c r="Y64" s="24" t="n">
        <f aca="false">P64+(ROW()/10000000)</f>
        <v>0.9300064</v>
      </c>
    </row>
    <row r="65" customFormat="false" ht="15" hidden="false" customHeight="true" outlineLevel="0" collapsed="false">
      <c r="A65" s="1" t="s">
        <v>228</v>
      </c>
      <c r="B65" s="1" t="s">
        <v>72</v>
      </c>
      <c r="C65" s="1" t="s">
        <v>229</v>
      </c>
      <c r="D65" s="1" t="s">
        <v>111</v>
      </c>
      <c r="E65" s="1" t="s">
        <v>133</v>
      </c>
      <c r="F65" s="1" t="s">
        <v>214</v>
      </c>
      <c r="G65" s="1" t="s">
        <v>60</v>
      </c>
      <c r="H65" s="21" t="n">
        <v>20464</v>
      </c>
      <c r="I65" s="21" t="n">
        <v>17317</v>
      </c>
      <c r="J65" s="21" t="n">
        <v>2262</v>
      </c>
      <c r="K65" s="21" t="n">
        <v>261</v>
      </c>
      <c r="L65" s="21" t="n">
        <v>91</v>
      </c>
      <c r="M65" s="21" t="n">
        <v>59</v>
      </c>
      <c r="N65" s="21" t="n">
        <v>115</v>
      </c>
      <c r="O65" s="21" t="n">
        <v>269</v>
      </c>
      <c r="P65" s="22" t="n">
        <v>15.44</v>
      </c>
      <c r="Q65" s="21" t="n">
        <v>2</v>
      </c>
      <c r="R65" s="22" t="n">
        <v>0.4</v>
      </c>
      <c r="S65" s="23" t="n">
        <v>8.5</v>
      </c>
      <c r="T65" s="1" t="s">
        <v>140</v>
      </c>
      <c r="U65" s="1" t="s">
        <v>82</v>
      </c>
      <c r="V65" s="21" t="n">
        <f aca="false">J65+K65+L65+M65</f>
        <v>2673</v>
      </c>
      <c r="W65" s="22" t="n">
        <f aca="false">ROUND(O65/I65*100,2)</f>
        <v>1.55</v>
      </c>
      <c r="X65" s="1" t="str">
        <f aca="false">IF(R65&gt;0.6,"Positive",IF(R65&lt;0.35,"Negative","Neutral"))</f>
        <v>Neutral</v>
      </c>
      <c r="Y65" s="24" t="n">
        <f aca="false">P65+(ROW()/10000000)</f>
        <v>15.4400065</v>
      </c>
    </row>
    <row r="66" customFormat="false" ht="15" hidden="false" customHeight="true" outlineLevel="0" collapsed="false">
      <c r="A66" s="1" t="s">
        <v>230</v>
      </c>
      <c r="B66" s="1" t="s">
        <v>72</v>
      </c>
      <c r="C66" s="1" t="s">
        <v>231</v>
      </c>
      <c r="D66" s="1" t="s">
        <v>49</v>
      </c>
      <c r="E66" s="1" t="s">
        <v>163</v>
      </c>
      <c r="F66" s="1" t="s">
        <v>51</v>
      </c>
      <c r="G66" s="1" t="s">
        <v>52</v>
      </c>
      <c r="H66" s="21" t="n">
        <v>70455</v>
      </c>
      <c r="I66" s="21" t="n">
        <v>41152</v>
      </c>
      <c r="J66" s="21" t="n">
        <v>570</v>
      </c>
      <c r="K66" s="21" t="n">
        <v>126</v>
      </c>
      <c r="L66" s="21" t="n">
        <v>59</v>
      </c>
      <c r="M66" s="21" t="n">
        <v>102</v>
      </c>
      <c r="N66" s="21" t="n">
        <v>2975</v>
      </c>
      <c r="O66" s="21" t="n">
        <v>2102</v>
      </c>
      <c r="P66" s="22" t="n">
        <v>2.08</v>
      </c>
      <c r="Q66" s="21" t="n">
        <v>298</v>
      </c>
      <c r="R66" s="22" t="n">
        <v>0.19</v>
      </c>
      <c r="S66" s="23" t="n">
        <v>6.7</v>
      </c>
      <c r="T66" s="1" t="s">
        <v>61</v>
      </c>
      <c r="U66" s="1" t="s">
        <v>113</v>
      </c>
      <c r="V66" s="21" t="n">
        <f aca="false">J66+K66+L66+M66</f>
        <v>857</v>
      </c>
      <c r="W66" s="22" t="n">
        <f aca="false">ROUND(O66/I66*100,2)</f>
        <v>5.11</v>
      </c>
      <c r="X66" s="1" t="str">
        <f aca="false">IF(R66&gt;0.6,"Positive",IF(R66&lt;0.35,"Negative","Neutral"))</f>
        <v>Negative</v>
      </c>
      <c r="Y66" s="24" t="n">
        <f aca="false">P66+(ROW()/10000000)</f>
        <v>2.0800066</v>
      </c>
    </row>
    <row r="67" customFormat="false" ht="15" hidden="false" customHeight="true" outlineLevel="0" collapsed="false">
      <c r="A67" s="1" t="s">
        <v>232</v>
      </c>
      <c r="B67" s="1" t="s">
        <v>47</v>
      </c>
      <c r="C67" s="1" t="s">
        <v>233</v>
      </c>
      <c r="D67" s="1" t="s">
        <v>49</v>
      </c>
      <c r="E67" s="1" t="s">
        <v>91</v>
      </c>
      <c r="F67" s="1" t="s">
        <v>51</v>
      </c>
      <c r="G67" s="1" t="s">
        <v>60</v>
      </c>
      <c r="H67" s="21" t="n">
        <v>57372</v>
      </c>
      <c r="I67" s="21" t="n">
        <v>43363</v>
      </c>
      <c r="J67" s="21" t="n">
        <v>4066</v>
      </c>
      <c r="K67" s="21" t="n">
        <v>734</v>
      </c>
      <c r="L67" s="21" t="n">
        <v>456</v>
      </c>
      <c r="M67" s="21" t="n">
        <v>78</v>
      </c>
      <c r="N67" s="21" t="n">
        <v>671</v>
      </c>
      <c r="O67" s="21" t="n">
        <v>1319</v>
      </c>
      <c r="P67" s="22" t="n">
        <v>12.3</v>
      </c>
      <c r="Q67" s="21" t="n">
        <v>306</v>
      </c>
      <c r="R67" s="22" t="n">
        <v>0.23</v>
      </c>
      <c r="S67" s="23" t="n">
        <v>4.3</v>
      </c>
      <c r="T67" s="1" t="s">
        <v>87</v>
      </c>
      <c r="U67" s="1" t="s">
        <v>98</v>
      </c>
      <c r="V67" s="21" t="n">
        <f aca="false">J67+K67+L67+M67</f>
        <v>5334</v>
      </c>
      <c r="W67" s="22" t="n">
        <f aca="false">ROUND(O67/I67*100,2)</f>
        <v>3.04</v>
      </c>
      <c r="X67" s="1" t="str">
        <f aca="false">IF(R67&gt;0.6,"Positive",IF(R67&lt;0.35,"Negative","Neutral"))</f>
        <v>Negative</v>
      </c>
      <c r="Y67" s="24" t="n">
        <f aca="false">P67+(ROW()/10000000)</f>
        <v>12.3000067</v>
      </c>
    </row>
    <row r="68" customFormat="false" ht="15" hidden="false" customHeight="true" outlineLevel="0" collapsed="false">
      <c r="A68" s="1" t="s">
        <v>234</v>
      </c>
      <c r="B68" s="1" t="s">
        <v>64</v>
      </c>
      <c r="C68" s="1" t="s">
        <v>235</v>
      </c>
      <c r="D68" s="1" t="s">
        <v>66</v>
      </c>
      <c r="E68" s="1" t="s">
        <v>106</v>
      </c>
      <c r="F68" s="1" t="s">
        <v>151</v>
      </c>
      <c r="G68" s="1" t="s">
        <v>60</v>
      </c>
      <c r="H68" s="21" t="n">
        <v>93483</v>
      </c>
      <c r="I68" s="21" t="n">
        <v>54624</v>
      </c>
      <c r="J68" s="21" t="n">
        <v>9083</v>
      </c>
      <c r="K68" s="21" t="n">
        <v>885</v>
      </c>
      <c r="L68" s="21" t="n">
        <v>882</v>
      </c>
      <c r="M68" s="21" t="n">
        <v>927</v>
      </c>
      <c r="N68" s="21" t="n">
        <v>1881</v>
      </c>
      <c r="O68" s="21" t="n">
        <v>1694</v>
      </c>
      <c r="P68" s="22" t="n">
        <v>21.56</v>
      </c>
      <c r="Q68" s="21" t="n">
        <v>168</v>
      </c>
      <c r="R68" s="22" t="n">
        <v>0.8</v>
      </c>
      <c r="S68" s="23" t="n">
        <v>6</v>
      </c>
      <c r="T68" s="1" t="s">
        <v>87</v>
      </c>
      <c r="U68" s="1" t="s">
        <v>136</v>
      </c>
      <c r="V68" s="21" t="n">
        <f aca="false">J68+K68+L68+M68</f>
        <v>11777</v>
      </c>
      <c r="W68" s="22" t="n">
        <f aca="false">ROUND(O68/I68*100,2)</f>
        <v>3.1</v>
      </c>
      <c r="X68" s="1" t="str">
        <f aca="false">IF(R68&gt;0.6,"Positive",IF(R68&lt;0.35,"Negative","Neutral"))</f>
        <v>Positive</v>
      </c>
      <c r="Y68" s="24" t="n">
        <f aca="false">P68+(ROW()/10000000)</f>
        <v>21.5600068</v>
      </c>
    </row>
    <row r="69" customFormat="false" ht="15" hidden="false" customHeight="true" outlineLevel="0" collapsed="false">
      <c r="A69" s="1" t="s">
        <v>236</v>
      </c>
      <c r="B69" s="1" t="s">
        <v>72</v>
      </c>
      <c r="C69" s="1" t="s">
        <v>237</v>
      </c>
      <c r="D69" s="1" t="s">
        <v>103</v>
      </c>
      <c r="E69" s="1" t="s">
        <v>163</v>
      </c>
      <c r="F69" s="1" t="s">
        <v>139</v>
      </c>
      <c r="G69" s="1" t="s">
        <v>60</v>
      </c>
      <c r="H69" s="21" t="n">
        <v>63663</v>
      </c>
      <c r="I69" s="21" t="n">
        <v>36296</v>
      </c>
      <c r="J69" s="21" t="n">
        <v>749</v>
      </c>
      <c r="K69" s="21" t="n">
        <v>28</v>
      </c>
      <c r="L69" s="21" t="n">
        <v>57</v>
      </c>
      <c r="M69" s="21" t="n">
        <v>27</v>
      </c>
      <c r="N69" s="21" t="n">
        <v>3062</v>
      </c>
      <c r="O69" s="21" t="n">
        <v>532</v>
      </c>
      <c r="P69" s="22" t="n">
        <v>2.37</v>
      </c>
      <c r="Q69" s="21" t="n">
        <v>279</v>
      </c>
      <c r="R69" s="22" t="n">
        <v>0.15</v>
      </c>
      <c r="S69" s="23" t="n">
        <v>9.5</v>
      </c>
      <c r="T69" s="1" t="s">
        <v>70</v>
      </c>
      <c r="U69" s="1" t="s">
        <v>54</v>
      </c>
      <c r="V69" s="21" t="n">
        <f aca="false">J69+K69+L69+M69</f>
        <v>861</v>
      </c>
      <c r="W69" s="22" t="n">
        <f aca="false">ROUND(O69/I69*100,2)</f>
        <v>1.47</v>
      </c>
      <c r="X69" s="1" t="str">
        <f aca="false">IF(R69&gt;0.6,"Positive",IF(R69&lt;0.35,"Negative","Neutral"))</f>
        <v>Negative</v>
      </c>
      <c r="Y69" s="24" t="n">
        <f aca="false">P69+(ROW()/10000000)</f>
        <v>2.3700069</v>
      </c>
    </row>
    <row r="70" customFormat="false" ht="15" hidden="false" customHeight="true" outlineLevel="0" collapsed="false">
      <c r="A70" s="1" t="s">
        <v>238</v>
      </c>
      <c r="B70" s="1" t="s">
        <v>72</v>
      </c>
      <c r="C70" s="1" t="s">
        <v>239</v>
      </c>
      <c r="D70" s="1" t="s">
        <v>85</v>
      </c>
      <c r="E70" s="1" t="s">
        <v>106</v>
      </c>
      <c r="F70" s="1" t="s">
        <v>139</v>
      </c>
      <c r="G70" s="1" t="s">
        <v>60</v>
      </c>
      <c r="H70" s="21" t="n">
        <v>39200</v>
      </c>
      <c r="I70" s="21" t="n">
        <v>28620</v>
      </c>
      <c r="J70" s="21" t="n">
        <v>2930</v>
      </c>
      <c r="K70" s="21" t="n">
        <v>111</v>
      </c>
      <c r="L70" s="21" t="n">
        <v>297</v>
      </c>
      <c r="M70" s="21" t="n">
        <v>522</v>
      </c>
      <c r="N70" s="21" t="n">
        <v>881</v>
      </c>
      <c r="O70" s="21" t="n">
        <v>316</v>
      </c>
      <c r="P70" s="22" t="n">
        <v>13.49</v>
      </c>
      <c r="Q70" s="21" t="n">
        <v>241</v>
      </c>
      <c r="R70" s="22" t="n">
        <v>0.29</v>
      </c>
      <c r="S70" s="23" t="n">
        <v>4.2</v>
      </c>
      <c r="T70" s="1" t="s">
        <v>70</v>
      </c>
      <c r="U70" s="1" t="s">
        <v>98</v>
      </c>
      <c r="V70" s="21" t="n">
        <f aca="false">J70+K70+L70+M70</f>
        <v>3860</v>
      </c>
      <c r="W70" s="22" t="n">
        <f aca="false">ROUND(O70/I70*100,2)</f>
        <v>1.1</v>
      </c>
      <c r="X70" s="1" t="str">
        <f aca="false">IF(R70&gt;0.6,"Positive",IF(R70&lt;0.35,"Negative","Neutral"))</f>
        <v>Negative</v>
      </c>
      <c r="Y70" s="24" t="n">
        <f aca="false">P70+(ROW()/10000000)</f>
        <v>13.490007</v>
      </c>
    </row>
    <row r="71" customFormat="false" ht="15" hidden="false" customHeight="true" outlineLevel="0" collapsed="false">
      <c r="A71" s="1" t="s">
        <v>240</v>
      </c>
      <c r="B71" s="1" t="s">
        <v>56</v>
      </c>
      <c r="C71" s="1" t="s">
        <v>241</v>
      </c>
      <c r="D71" s="1" t="s">
        <v>58</v>
      </c>
      <c r="E71" s="1" t="s">
        <v>133</v>
      </c>
      <c r="F71" s="1" t="s">
        <v>214</v>
      </c>
      <c r="G71" s="1" t="s">
        <v>76</v>
      </c>
      <c r="H71" s="21" t="n">
        <v>87723</v>
      </c>
      <c r="I71" s="21" t="n">
        <v>70076</v>
      </c>
      <c r="J71" s="21" t="n">
        <v>4431</v>
      </c>
      <c r="K71" s="21" t="n">
        <v>64</v>
      </c>
      <c r="L71" s="21" t="n">
        <v>186</v>
      </c>
      <c r="M71" s="21" t="n">
        <v>282</v>
      </c>
      <c r="N71" s="21" t="n">
        <v>5072</v>
      </c>
      <c r="O71" s="21" t="n">
        <v>2783</v>
      </c>
      <c r="P71" s="22" t="n">
        <v>7.08</v>
      </c>
      <c r="Q71" s="21" t="n">
        <v>174</v>
      </c>
      <c r="R71" s="22" t="n">
        <v>0.11</v>
      </c>
      <c r="S71" s="23" t="n">
        <v>9</v>
      </c>
      <c r="T71" s="1" t="s">
        <v>70</v>
      </c>
      <c r="U71" s="1" t="s">
        <v>82</v>
      </c>
      <c r="V71" s="21" t="n">
        <f aca="false">J71+K71+L71+M71</f>
        <v>4963</v>
      </c>
      <c r="W71" s="22" t="n">
        <f aca="false">ROUND(O71/I71*100,2)</f>
        <v>3.97</v>
      </c>
      <c r="X71" s="1" t="str">
        <f aca="false">IF(R71&gt;0.6,"Positive",IF(R71&lt;0.35,"Negative","Neutral"))</f>
        <v>Negative</v>
      </c>
      <c r="Y71" s="24" t="n">
        <f aca="false">P71+(ROW()/10000000)</f>
        <v>7.0800071</v>
      </c>
    </row>
    <row r="72" customFormat="false" ht="15" hidden="false" customHeight="true" outlineLevel="0" collapsed="false">
      <c r="A72" s="1" t="s">
        <v>242</v>
      </c>
      <c r="B72" s="1" t="s">
        <v>47</v>
      </c>
      <c r="C72" s="1" t="s">
        <v>243</v>
      </c>
      <c r="D72" s="1" t="s">
        <v>49</v>
      </c>
      <c r="E72" s="1" t="s">
        <v>80</v>
      </c>
      <c r="F72" s="1" t="s">
        <v>68</v>
      </c>
      <c r="G72" s="1" t="s">
        <v>94</v>
      </c>
      <c r="H72" s="21" t="n">
        <v>56528</v>
      </c>
      <c r="I72" s="21" t="n">
        <v>38783</v>
      </c>
      <c r="J72" s="21" t="n">
        <v>1339</v>
      </c>
      <c r="K72" s="21" t="n">
        <v>194</v>
      </c>
      <c r="L72" s="21" t="n">
        <v>81</v>
      </c>
      <c r="M72" s="21" t="n">
        <v>169</v>
      </c>
      <c r="N72" s="21" t="n">
        <v>705</v>
      </c>
      <c r="O72" s="21" t="n">
        <v>215</v>
      </c>
      <c r="P72" s="22" t="n">
        <v>4.6</v>
      </c>
      <c r="Q72" s="21" t="n">
        <v>74</v>
      </c>
      <c r="R72" s="22" t="n">
        <v>0.23</v>
      </c>
      <c r="S72" s="23" t="n">
        <v>7.4</v>
      </c>
      <c r="T72" s="1" t="s">
        <v>108</v>
      </c>
      <c r="U72" s="1" t="s">
        <v>54</v>
      </c>
      <c r="V72" s="21" t="n">
        <f aca="false">J72+K72+L72+M72</f>
        <v>1783</v>
      </c>
      <c r="W72" s="22" t="n">
        <f aca="false">ROUND(O72/I72*100,2)</f>
        <v>0.55</v>
      </c>
      <c r="X72" s="1" t="str">
        <f aca="false">IF(R72&gt;0.6,"Positive",IF(R72&lt;0.35,"Negative","Neutral"))</f>
        <v>Negative</v>
      </c>
      <c r="Y72" s="24" t="n">
        <f aca="false">P72+(ROW()/10000000)</f>
        <v>4.6000072</v>
      </c>
    </row>
    <row r="73" customFormat="false" ht="15" hidden="false" customHeight="true" outlineLevel="0" collapsed="false">
      <c r="A73" s="1" t="s">
        <v>244</v>
      </c>
      <c r="B73" s="1" t="s">
        <v>64</v>
      </c>
      <c r="C73" s="1" t="s">
        <v>245</v>
      </c>
      <c r="D73" s="1" t="s">
        <v>66</v>
      </c>
      <c r="E73" s="1" t="s">
        <v>91</v>
      </c>
      <c r="F73" s="1" t="s">
        <v>127</v>
      </c>
      <c r="G73" s="1" t="s">
        <v>69</v>
      </c>
      <c r="H73" s="21" t="n">
        <v>37304</v>
      </c>
      <c r="I73" s="21" t="n">
        <v>22929</v>
      </c>
      <c r="J73" s="21" t="n">
        <v>2148</v>
      </c>
      <c r="K73" s="21" t="n">
        <v>121</v>
      </c>
      <c r="L73" s="21" t="n">
        <v>178</v>
      </c>
      <c r="M73" s="21" t="n">
        <v>223</v>
      </c>
      <c r="N73" s="21" t="n">
        <v>464</v>
      </c>
      <c r="O73" s="21" t="n">
        <v>580</v>
      </c>
      <c r="P73" s="22" t="n">
        <v>11.64</v>
      </c>
      <c r="Q73" s="21" t="n">
        <v>298</v>
      </c>
      <c r="R73" s="22" t="n">
        <v>0.51</v>
      </c>
      <c r="S73" s="23" t="n">
        <v>7.7</v>
      </c>
      <c r="T73" s="1" t="s">
        <v>87</v>
      </c>
      <c r="U73" s="1" t="s">
        <v>62</v>
      </c>
      <c r="V73" s="21" t="n">
        <f aca="false">J73+K73+L73+M73</f>
        <v>2670</v>
      </c>
      <c r="W73" s="22" t="n">
        <f aca="false">ROUND(O73/I73*100,2)</f>
        <v>2.53</v>
      </c>
      <c r="X73" s="1" t="str">
        <f aca="false">IF(R73&gt;0.6,"Positive",IF(R73&lt;0.35,"Negative","Neutral"))</f>
        <v>Neutral</v>
      </c>
      <c r="Y73" s="24" t="n">
        <f aca="false">P73+(ROW()/10000000)</f>
        <v>11.6400073</v>
      </c>
    </row>
    <row r="74" customFormat="false" ht="15" hidden="false" customHeight="true" outlineLevel="0" collapsed="false">
      <c r="A74" s="1" t="s">
        <v>246</v>
      </c>
      <c r="B74" s="1" t="s">
        <v>47</v>
      </c>
      <c r="C74" s="1" t="s">
        <v>247</v>
      </c>
      <c r="D74" s="1" t="s">
        <v>111</v>
      </c>
      <c r="E74" s="1" t="s">
        <v>50</v>
      </c>
      <c r="F74" s="1" t="s">
        <v>112</v>
      </c>
      <c r="G74" s="1" t="s">
        <v>60</v>
      </c>
      <c r="H74" s="21" t="n">
        <v>19487</v>
      </c>
      <c r="I74" s="21" t="n">
        <v>15185</v>
      </c>
      <c r="J74" s="21" t="n">
        <v>1235</v>
      </c>
      <c r="K74" s="21" t="n">
        <v>172</v>
      </c>
      <c r="L74" s="21" t="n">
        <v>32</v>
      </c>
      <c r="M74" s="21" t="n">
        <v>4</v>
      </c>
      <c r="N74" s="21" t="n">
        <v>1028</v>
      </c>
      <c r="O74" s="21" t="n">
        <v>764</v>
      </c>
      <c r="P74" s="22" t="n">
        <v>9.5</v>
      </c>
      <c r="Q74" s="21" t="n">
        <v>215</v>
      </c>
      <c r="R74" s="22" t="n">
        <v>0.25</v>
      </c>
      <c r="S74" s="23" t="n">
        <v>5.9</v>
      </c>
      <c r="T74" s="1" t="s">
        <v>70</v>
      </c>
      <c r="U74" s="1" t="s">
        <v>54</v>
      </c>
      <c r="V74" s="21" t="n">
        <f aca="false">J74+K74+L74+M74</f>
        <v>1443</v>
      </c>
      <c r="W74" s="22" t="n">
        <f aca="false">ROUND(O74/I74*100,2)</f>
        <v>5.03</v>
      </c>
      <c r="X74" s="1" t="str">
        <f aca="false">IF(R74&gt;0.6,"Positive",IF(R74&lt;0.35,"Negative","Neutral"))</f>
        <v>Negative</v>
      </c>
      <c r="Y74" s="24" t="n">
        <f aca="false">P74+(ROW()/10000000)</f>
        <v>9.5000074</v>
      </c>
    </row>
    <row r="75" customFormat="false" ht="15" hidden="false" customHeight="true" outlineLevel="0" collapsed="false">
      <c r="A75" s="1" t="s">
        <v>248</v>
      </c>
      <c r="B75" s="1" t="s">
        <v>47</v>
      </c>
      <c r="C75" s="1" t="s">
        <v>249</v>
      </c>
      <c r="D75" s="1" t="s">
        <v>58</v>
      </c>
      <c r="E75" s="1" t="s">
        <v>133</v>
      </c>
      <c r="F75" s="1" t="s">
        <v>250</v>
      </c>
      <c r="G75" s="1" t="s">
        <v>121</v>
      </c>
      <c r="H75" s="21" t="n">
        <v>11705</v>
      </c>
      <c r="I75" s="21" t="n">
        <v>9465</v>
      </c>
      <c r="J75" s="21" t="n">
        <v>1229</v>
      </c>
      <c r="K75" s="21" t="n">
        <v>224</v>
      </c>
      <c r="L75" s="21" t="n">
        <v>148</v>
      </c>
      <c r="M75" s="21" t="n">
        <v>106</v>
      </c>
      <c r="N75" s="21" t="n">
        <v>865</v>
      </c>
      <c r="O75" s="21" t="n">
        <v>296</v>
      </c>
      <c r="P75" s="22" t="n">
        <v>18.03</v>
      </c>
      <c r="Q75" s="21" t="n">
        <v>53</v>
      </c>
      <c r="R75" s="22" t="n">
        <v>0.44</v>
      </c>
      <c r="S75" s="23" t="n">
        <v>9.6</v>
      </c>
      <c r="T75" s="1" t="s">
        <v>122</v>
      </c>
      <c r="U75" s="1" t="s">
        <v>88</v>
      </c>
      <c r="V75" s="21" t="n">
        <f aca="false">J75+K75+L75+M75</f>
        <v>1707</v>
      </c>
      <c r="W75" s="22" t="n">
        <f aca="false">ROUND(O75/I75*100,2)</f>
        <v>3.13</v>
      </c>
      <c r="X75" s="1" t="str">
        <f aca="false">IF(R75&gt;0.6,"Positive",IF(R75&lt;0.35,"Negative","Neutral"))</f>
        <v>Neutral</v>
      </c>
      <c r="Y75" s="24" t="n">
        <f aca="false">P75+(ROW()/10000000)</f>
        <v>18.0300075</v>
      </c>
    </row>
    <row r="76" customFormat="false" ht="15" hidden="false" customHeight="true" outlineLevel="0" collapsed="false">
      <c r="A76" s="1" t="s">
        <v>251</v>
      </c>
      <c r="B76" s="1" t="s">
        <v>64</v>
      </c>
      <c r="C76" s="1" t="s">
        <v>252</v>
      </c>
      <c r="D76" s="1" t="s">
        <v>49</v>
      </c>
      <c r="E76" s="1" t="s">
        <v>80</v>
      </c>
      <c r="F76" s="1" t="s">
        <v>181</v>
      </c>
      <c r="G76" s="1" t="s">
        <v>69</v>
      </c>
      <c r="H76" s="21" t="n">
        <v>78684</v>
      </c>
      <c r="I76" s="21" t="n">
        <v>52728</v>
      </c>
      <c r="J76" s="21" t="n">
        <v>1338</v>
      </c>
      <c r="K76" s="21" t="n">
        <v>207</v>
      </c>
      <c r="L76" s="21" t="n">
        <v>81</v>
      </c>
      <c r="M76" s="21" t="n">
        <v>176</v>
      </c>
      <c r="N76" s="21" t="n">
        <v>1825</v>
      </c>
      <c r="O76" s="21" t="n">
        <v>1364</v>
      </c>
      <c r="P76" s="22" t="n">
        <v>3.42</v>
      </c>
      <c r="Q76" s="21" t="n">
        <v>81</v>
      </c>
      <c r="R76" s="22" t="n">
        <v>0.16</v>
      </c>
      <c r="S76" s="23" t="n">
        <v>7.5</v>
      </c>
      <c r="T76" s="1" t="s">
        <v>122</v>
      </c>
      <c r="U76" s="1" t="s">
        <v>136</v>
      </c>
      <c r="V76" s="21" t="n">
        <f aca="false">J76+K76+L76+M76</f>
        <v>1802</v>
      </c>
      <c r="W76" s="22" t="n">
        <f aca="false">ROUND(O76/I76*100,2)</f>
        <v>2.59</v>
      </c>
      <c r="X76" s="1" t="str">
        <f aca="false">IF(R76&gt;0.6,"Positive",IF(R76&lt;0.35,"Negative","Neutral"))</f>
        <v>Negative</v>
      </c>
      <c r="Y76" s="24" t="n">
        <f aca="false">P76+(ROW()/10000000)</f>
        <v>3.4200076</v>
      </c>
    </row>
    <row r="77" customFormat="false" ht="15" hidden="false" customHeight="true" outlineLevel="0" collapsed="false">
      <c r="A77" s="1" t="s">
        <v>253</v>
      </c>
      <c r="B77" s="1" t="s">
        <v>56</v>
      </c>
      <c r="C77" s="1" t="s">
        <v>254</v>
      </c>
      <c r="D77" s="1" t="s">
        <v>111</v>
      </c>
      <c r="E77" s="1" t="s">
        <v>67</v>
      </c>
      <c r="F77" s="1" t="s">
        <v>75</v>
      </c>
      <c r="G77" s="1" t="s">
        <v>60</v>
      </c>
      <c r="H77" s="21" t="n">
        <v>35050</v>
      </c>
      <c r="I77" s="21" t="n">
        <v>21351</v>
      </c>
      <c r="J77" s="21" t="n">
        <v>2517</v>
      </c>
      <c r="K77" s="21" t="n">
        <v>161</v>
      </c>
      <c r="L77" s="21" t="n">
        <v>337</v>
      </c>
      <c r="M77" s="21" t="n">
        <v>41</v>
      </c>
      <c r="N77" s="21" t="n">
        <v>735</v>
      </c>
      <c r="O77" s="21" t="n">
        <v>1011</v>
      </c>
      <c r="P77" s="22" t="n">
        <v>14.31</v>
      </c>
      <c r="Q77" s="21" t="n">
        <v>232</v>
      </c>
      <c r="R77" s="22" t="n">
        <v>0.74</v>
      </c>
      <c r="S77" s="23" t="n">
        <v>8.3</v>
      </c>
      <c r="T77" s="1" t="s">
        <v>122</v>
      </c>
      <c r="U77" s="1" t="s">
        <v>82</v>
      </c>
      <c r="V77" s="21" t="n">
        <f aca="false">J77+K77+L77+M77</f>
        <v>3056</v>
      </c>
      <c r="W77" s="22" t="n">
        <f aca="false">ROUND(O77/I77*100,2)</f>
        <v>4.74</v>
      </c>
      <c r="X77" s="1" t="str">
        <f aca="false">IF(R77&gt;0.6,"Positive",IF(R77&lt;0.35,"Negative","Neutral"))</f>
        <v>Positive</v>
      </c>
      <c r="Y77" s="24" t="n">
        <f aca="false">P77+(ROW()/10000000)</f>
        <v>14.3100077</v>
      </c>
    </row>
    <row r="78" customFormat="false" ht="15" hidden="false" customHeight="true" outlineLevel="0" collapsed="false">
      <c r="A78" s="1" t="s">
        <v>255</v>
      </c>
      <c r="B78" s="1" t="s">
        <v>64</v>
      </c>
      <c r="C78" s="1" t="s">
        <v>256</v>
      </c>
      <c r="D78" s="1" t="s">
        <v>49</v>
      </c>
      <c r="E78" s="1" t="s">
        <v>91</v>
      </c>
      <c r="F78" s="1" t="s">
        <v>120</v>
      </c>
      <c r="G78" s="1" t="s">
        <v>128</v>
      </c>
      <c r="H78" s="21" t="n">
        <v>84256</v>
      </c>
      <c r="I78" s="21" t="n">
        <v>53995</v>
      </c>
      <c r="J78" s="21" t="n">
        <v>4550</v>
      </c>
      <c r="K78" s="21" t="n">
        <v>120</v>
      </c>
      <c r="L78" s="21" t="n">
        <v>362</v>
      </c>
      <c r="M78" s="21" t="n">
        <v>522</v>
      </c>
      <c r="N78" s="21" t="n">
        <v>617</v>
      </c>
      <c r="O78" s="21" t="n">
        <v>1271</v>
      </c>
      <c r="P78" s="22" t="n">
        <v>10.29</v>
      </c>
      <c r="Q78" s="21" t="n">
        <v>231</v>
      </c>
      <c r="R78" s="22" t="n">
        <v>0.48</v>
      </c>
      <c r="S78" s="23" t="n">
        <v>3.9</v>
      </c>
      <c r="T78" s="1" t="s">
        <v>70</v>
      </c>
      <c r="U78" s="1" t="s">
        <v>54</v>
      </c>
      <c r="V78" s="21" t="n">
        <f aca="false">J78+K78+L78+M78</f>
        <v>5554</v>
      </c>
      <c r="W78" s="22" t="n">
        <f aca="false">ROUND(O78/I78*100,2)</f>
        <v>2.35</v>
      </c>
      <c r="X78" s="1" t="str">
        <f aca="false">IF(R78&gt;0.6,"Positive",IF(R78&lt;0.35,"Negative","Neutral"))</f>
        <v>Neutral</v>
      </c>
      <c r="Y78" s="24" t="n">
        <f aca="false">P78+(ROW()/10000000)</f>
        <v>10.2900078</v>
      </c>
    </row>
    <row r="79" customFormat="false" ht="15" hidden="false" customHeight="true" outlineLevel="0" collapsed="false">
      <c r="A79" s="1" t="s">
        <v>257</v>
      </c>
      <c r="B79" s="1" t="s">
        <v>64</v>
      </c>
      <c r="C79" s="1" t="s">
        <v>258</v>
      </c>
      <c r="D79" s="1" t="s">
        <v>66</v>
      </c>
      <c r="E79" s="1" t="s">
        <v>133</v>
      </c>
      <c r="F79" s="1" t="s">
        <v>174</v>
      </c>
      <c r="G79" s="1" t="s">
        <v>128</v>
      </c>
      <c r="H79" s="21" t="n">
        <v>76428</v>
      </c>
      <c r="I79" s="21" t="n">
        <v>56980</v>
      </c>
      <c r="J79" s="21" t="n">
        <v>5317</v>
      </c>
      <c r="K79" s="21" t="n">
        <v>1244</v>
      </c>
      <c r="L79" s="21" t="n">
        <v>489</v>
      </c>
      <c r="M79" s="21" t="n">
        <v>1029</v>
      </c>
      <c r="N79" s="21" t="n">
        <v>1245</v>
      </c>
      <c r="O79" s="21" t="n">
        <v>253</v>
      </c>
      <c r="P79" s="22" t="n">
        <v>14.18</v>
      </c>
      <c r="Q79" s="21" t="n">
        <v>225</v>
      </c>
      <c r="R79" s="22" t="n">
        <v>0.19</v>
      </c>
      <c r="S79" s="23" t="n">
        <v>9.2</v>
      </c>
      <c r="T79" s="1" t="s">
        <v>152</v>
      </c>
      <c r="U79" s="1" t="s">
        <v>62</v>
      </c>
      <c r="V79" s="21" t="n">
        <f aca="false">J79+K79+L79+M79</f>
        <v>8079</v>
      </c>
      <c r="W79" s="22" t="n">
        <f aca="false">ROUND(O79/I79*100,2)</f>
        <v>0.44</v>
      </c>
      <c r="X79" s="1" t="str">
        <f aca="false">IF(R79&gt;0.6,"Positive",IF(R79&lt;0.35,"Negative","Neutral"))</f>
        <v>Negative</v>
      </c>
      <c r="Y79" s="24" t="n">
        <f aca="false">P79+(ROW()/10000000)</f>
        <v>14.1800079</v>
      </c>
    </row>
    <row r="80" customFormat="false" ht="15" hidden="false" customHeight="true" outlineLevel="0" collapsed="false">
      <c r="A80" s="1" t="s">
        <v>259</v>
      </c>
      <c r="B80" s="1" t="s">
        <v>56</v>
      </c>
      <c r="C80" s="1" t="s">
        <v>100</v>
      </c>
      <c r="D80" s="1" t="s">
        <v>85</v>
      </c>
      <c r="E80" s="1" t="s">
        <v>91</v>
      </c>
      <c r="F80" s="1" t="s">
        <v>174</v>
      </c>
      <c r="G80" s="1" t="s">
        <v>128</v>
      </c>
      <c r="H80" s="21" t="n">
        <v>70190</v>
      </c>
      <c r="I80" s="21" t="n">
        <v>49612</v>
      </c>
      <c r="J80" s="21" t="n">
        <v>2650</v>
      </c>
      <c r="K80" s="21" t="n">
        <v>377</v>
      </c>
      <c r="L80" s="21" t="n">
        <v>192</v>
      </c>
      <c r="M80" s="21" t="n">
        <v>292</v>
      </c>
      <c r="N80" s="21" t="n">
        <v>3183</v>
      </c>
      <c r="O80" s="21" t="n">
        <v>1674</v>
      </c>
      <c r="P80" s="22" t="n">
        <v>7.08</v>
      </c>
      <c r="Q80" s="21" t="n">
        <v>168</v>
      </c>
      <c r="R80" s="22" t="n">
        <v>0.68</v>
      </c>
      <c r="S80" s="23" t="n">
        <v>3.8</v>
      </c>
      <c r="T80" s="1" t="s">
        <v>122</v>
      </c>
      <c r="U80" s="1" t="s">
        <v>88</v>
      </c>
      <c r="V80" s="21" t="n">
        <f aca="false">J80+K80+L80+M80</f>
        <v>3511</v>
      </c>
      <c r="W80" s="22" t="n">
        <f aca="false">ROUND(O80/I80*100,2)</f>
        <v>3.37</v>
      </c>
      <c r="X80" s="1" t="str">
        <f aca="false">IF(R80&gt;0.6,"Positive",IF(R80&lt;0.35,"Negative","Neutral"))</f>
        <v>Positive</v>
      </c>
      <c r="Y80" s="24" t="n">
        <f aca="false">P80+(ROW()/10000000)</f>
        <v>7.080008</v>
      </c>
    </row>
    <row r="81" customFormat="false" ht="15" hidden="false" customHeight="true" outlineLevel="0" collapsed="false">
      <c r="A81" s="1" t="s">
        <v>260</v>
      </c>
      <c r="B81" s="1" t="s">
        <v>64</v>
      </c>
      <c r="C81" s="1" t="s">
        <v>261</v>
      </c>
      <c r="D81" s="1" t="s">
        <v>103</v>
      </c>
      <c r="E81" s="1" t="s">
        <v>50</v>
      </c>
      <c r="F81" s="1" t="s">
        <v>160</v>
      </c>
      <c r="G81" s="1" t="s">
        <v>81</v>
      </c>
      <c r="H81" s="21" t="n">
        <v>80497</v>
      </c>
      <c r="I81" s="21" t="n">
        <v>65362</v>
      </c>
      <c r="J81" s="21" t="n">
        <v>5511</v>
      </c>
      <c r="K81" s="21" t="n">
        <v>171</v>
      </c>
      <c r="L81" s="21" t="n">
        <v>598</v>
      </c>
      <c r="M81" s="21" t="n">
        <v>292</v>
      </c>
      <c r="N81" s="21" t="n">
        <v>7519</v>
      </c>
      <c r="O81" s="21" t="n">
        <v>1432</v>
      </c>
      <c r="P81" s="22" t="n">
        <v>10.05</v>
      </c>
      <c r="Q81" s="21" t="n">
        <v>153</v>
      </c>
      <c r="R81" s="22" t="n">
        <v>0.92</v>
      </c>
      <c r="S81" s="23" t="n">
        <v>7.9</v>
      </c>
      <c r="T81" s="1" t="s">
        <v>70</v>
      </c>
      <c r="U81" s="1" t="s">
        <v>98</v>
      </c>
      <c r="V81" s="21" t="n">
        <f aca="false">J81+K81+L81+M81</f>
        <v>6572</v>
      </c>
      <c r="W81" s="22" t="n">
        <f aca="false">ROUND(O81/I81*100,2)</f>
        <v>2.19</v>
      </c>
      <c r="X81" s="1" t="str">
        <f aca="false">IF(R81&gt;0.6,"Positive",IF(R81&lt;0.35,"Negative","Neutral"))</f>
        <v>Positive</v>
      </c>
      <c r="Y81" s="24" t="n">
        <f aca="false">P81+(ROW()/10000000)</f>
        <v>10.0500081</v>
      </c>
    </row>
    <row r="82" customFormat="false" ht="15" hidden="false" customHeight="true" outlineLevel="0" collapsed="false">
      <c r="A82" s="1" t="s">
        <v>262</v>
      </c>
      <c r="B82" s="1" t="s">
        <v>64</v>
      </c>
      <c r="C82" s="1" t="s">
        <v>263</v>
      </c>
      <c r="D82" s="1" t="s">
        <v>85</v>
      </c>
      <c r="E82" s="1" t="s">
        <v>74</v>
      </c>
      <c r="F82" s="1" t="s">
        <v>120</v>
      </c>
      <c r="G82" s="1" t="s">
        <v>81</v>
      </c>
      <c r="H82" s="21" t="n">
        <v>89333</v>
      </c>
      <c r="I82" s="21" t="n">
        <v>67968</v>
      </c>
      <c r="J82" s="21" t="n">
        <v>12154</v>
      </c>
      <c r="K82" s="21" t="n">
        <v>2812</v>
      </c>
      <c r="L82" s="21" t="n">
        <v>1080</v>
      </c>
      <c r="M82" s="21" t="n">
        <v>385</v>
      </c>
      <c r="N82" s="21" t="n">
        <v>5302</v>
      </c>
      <c r="O82" s="21" t="n">
        <v>2746</v>
      </c>
      <c r="P82" s="22" t="n">
        <v>24.17</v>
      </c>
      <c r="Q82" s="21" t="n">
        <v>211</v>
      </c>
      <c r="R82" s="22" t="n">
        <v>0.53</v>
      </c>
      <c r="S82" s="23" t="n">
        <v>3.6</v>
      </c>
      <c r="T82" s="1" t="s">
        <v>53</v>
      </c>
      <c r="U82" s="1" t="s">
        <v>136</v>
      </c>
      <c r="V82" s="21" t="n">
        <f aca="false">J82+K82+L82+M82</f>
        <v>16431</v>
      </c>
      <c r="W82" s="22" t="n">
        <f aca="false">ROUND(O82/I82*100,2)</f>
        <v>4.04</v>
      </c>
      <c r="X82" s="1" t="str">
        <f aca="false">IF(R82&gt;0.6,"Positive",IF(R82&lt;0.35,"Negative","Neutral"))</f>
        <v>Neutral</v>
      </c>
      <c r="Y82" s="24" t="n">
        <f aca="false">P82+(ROW()/10000000)</f>
        <v>24.1700082</v>
      </c>
    </row>
    <row r="83" customFormat="false" ht="15" hidden="false" customHeight="true" outlineLevel="0" collapsed="false">
      <c r="A83" s="1" t="s">
        <v>264</v>
      </c>
      <c r="B83" s="1" t="s">
        <v>64</v>
      </c>
      <c r="C83" s="1" t="s">
        <v>265</v>
      </c>
      <c r="D83" s="1" t="s">
        <v>111</v>
      </c>
      <c r="E83" s="1" t="s">
        <v>80</v>
      </c>
      <c r="F83" s="1" t="s">
        <v>250</v>
      </c>
      <c r="G83" s="1" t="s">
        <v>81</v>
      </c>
      <c r="H83" s="21" t="n">
        <v>21808</v>
      </c>
      <c r="I83" s="21" t="n">
        <v>12499</v>
      </c>
      <c r="J83" s="21" t="n">
        <v>464</v>
      </c>
      <c r="K83" s="21" t="n">
        <v>69</v>
      </c>
      <c r="L83" s="21" t="n">
        <v>69</v>
      </c>
      <c r="M83" s="21" t="n">
        <v>7</v>
      </c>
      <c r="N83" s="21" t="n">
        <v>1365</v>
      </c>
      <c r="O83" s="21" t="n">
        <v>344</v>
      </c>
      <c r="P83" s="22" t="n">
        <v>4.87</v>
      </c>
      <c r="Q83" s="21" t="n">
        <v>311</v>
      </c>
      <c r="R83" s="22" t="n">
        <v>0.21</v>
      </c>
      <c r="S83" s="23" t="n">
        <v>5.9</v>
      </c>
      <c r="T83" s="1" t="s">
        <v>152</v>
      </c>
      <c r="U83" s="1" t="s">
        <v>113</v>
      </c>
      <c r="V83" s="21" t="n">
        <f aca="false">J83+K83+L83+M83</f>
        <v>609</v>
      </c>
      <c r="W83" s="22" t="n">
        <f aca="false">ROUND(O83/I83*100,2)</f>
        <v>2.75</v>
      </c>
      <c r="X83" s="1" t="str">
        <f aca="false">IF(R83&gt;0.6,"Positive",IF(R83&lt;0.35,"Negative","Neutral"))</f>
        <v>Negative</v>
      </c>
      <c r="Y83" s="24" t="n">
        <f aca="false">P83+(ROW()/10000000)</f>
        <v>4.8700083</v>
      </c>
    </row>
    <row r="84" customFormat="false" ht="15" hidden="false" customHeight="true" outlineLevel="0" collapsed="false">
      <c r="A84" s="1" t="s">
        <v>266</v>
      </c>
      <c r="B84" s="1" t="s">
        <v>47</v>
      </c>
      <c r="C84" s="1" t="s">
        <v>267</v>
      </c>
      <c r="D84" s="1" t="s">
        <v>58</v>
      </c>
      <c r="E84" s="1" t="s">
        <v>74</v>
      </c>
      <c r="F84" s="1" t="s">
        <v>214</v>
      </c>
      <c r="G84" s="1" t="s">
        <v>121</v>
      </c>
      <c r="H84" s="21" t="n">
        <v>32633</v>
      </c>
      <c r="I84" s="21" t="n">
        <v>27440</v>
      </c>
      <c r="J84" s="21" t="n">
        <v>2384</v>
      </c>
      <c r="K84" s="21" t="n">
        <v>464</v>
      </c>
      <c r="L84" s="21" t="n">
        <v>121</v>
      </c>
      <c r="M84" s="21" t="n">
        <v>276</v>
      </c>
      <c r="N84" s="21" t="n">
        <v>989</v>
      </c>
      <c r="O84" s="21" t="n">
        <v>633</v>
      </c>
      <c r="P84" s="22" t="n">
        <v>11.83</v>
      </c>
      <c r="Q84" s="21" t="n">
        <v>235</v>
      </c>
      <c r="R84" s="22" t="n">
        <v>0.87</v>
      </c>
      <c r="S84" s="23" t="n">
        <v>4.7</v>
      </c>
      <c r="T84" s="1" t="s">
        <v>108</v>
      </c>
      <c r="U84" s="1" t="s">
        <v>98</v>
      </c>
      <c r="V84" s="21" t="n">
        <f aca="false">J84+K84+L84+M84</f>
        <v>3245</v>
      </c>
      <c r="W84" s="22" t="n">
        <f aca="false">ROUND(O84/I84*100,2)</f>
        <v>2.31</v>
      </c>
      <c r="X84" s="1" t="str">
        <f aca="false">IF(R84&gt;0.6,"Positive",IF(R84&lt;0.35,"Negative","Neutral"))</f>
        <v>Positive</v>
      </c>
      <c r="Y84" s="24" t="n">
        <f aca="false">P84+(ROW()/10000000)</f>
        <v>11.8300084</v>
      </c>
    </row>
    <row r="85" customFormat="false" ht="15" hidden="false" customHeight="true" outlineLevel="0" collapsed="false">
      <c r="A85" s="1" t="s">
        <v>268</v>
      </c>
      <c r="B85" s="1" t="s">
        <v>64</v>
      </c>
      <c r="C85" s="1" t="s">
        <v>197</v>
      </c>
      <c r="D85" s="1" t="s">
        <v>66</v>
      </c>
      <c r="E85" s="1" t="s">
        <v>106</v>
      </c>
      <c r="F85" s="1" t="s">
        <v>181</v>
      </c>
      <c r="G85" s="1" t="s">
        <v>128</v>
      </c>
      <c r="H85" s="21" t="n">
        <v>27674</v>
      </c>
      <c r="I85" s="21" t="n">
        <v>21872</v>
      </c>
      <c r="J85" s="21" t="n">
        <v>616</v>
      </c>
      <c r="K85" s="21" t="n">
        <v>69</v>
      </c>
      <c r="L85" s="21" t="n">
        <v>8</v>
      </c>
      <c r="M85" s="21" t="n">
        <v>85</v>
      </c>
      <c r="N85" s="21" t="n">
        <v>1978</v>
      </c>
      <c r="O85" s="21" t="n">
        <v>760</v>
      </c>
      <c r="P85" s="22" t="n">
        <v>3.56</v>
      </c>
      <c r="Q85" s="21" t="n">
        <v>278</v>
      </c>
      <c r="R85" s="22" t="n">
        <v>0.89</v>
      </c>
      <c r="S85" s="23" t="n">
        <v>8</v>
      </c>
      <c r="T85" s="1" t="s">
        <v>61</v>
      </c>
      <c r="U85" s="1" t="s">
        <v>88</v>
      </c>
      <c r="V85" s="21" t="n">
        <f aca="false">J85+K85+L85+M85</f>
        <v>778</v>
      </c>
      <c r="W85" s="22" t="n">
        <f aca="false">ROUND(O85/I85*100,2)</f>
        <v>3.47</v>
      </c>
      <c r="X85" s="1" t="str">
        <f aca="false">IF(R85&gt;0.6,"Positive",IF(R85&lt;0.35,"Negative","Neutral"))</f>
        <v>Positive</v>
      </c>
      <c r="Y85" s="24" t="n">
        <f aca="false">P85+(ROW()/10000000)</f>
        <v>3.5600085</v>
      </c>
    </row>
    <row r="86" customFormat="false" ht="15" hidden="false" customHeight="true" outlineLevel="0" collapsed="false">
      <c r="A86" s="1" t="s">
        <v>269</v>
      </c>
      <c r="B86" s="1" t="s">
        <v>56</v>
      </c>
      <c r="C86" s="1" t="s">
        <v>270</v>
      </c>
      <c r="D86" s="1" t="s">
        <v>103</v>
      </c>
      <c r="E86" s="1" t="s">
        <v>91</v>
      </c>
      <c r="F86" s="1" t="s">
        <v>59</v>
      </c>
      <c r="G86" s="1" t="s">
        <v>69</v>
      </c>
      <c r="H86" s="21" t="n">
        <v>20813</v>
      </c>
      <c r="I86" s="21" t="n">
        <v>16636</v>
      </c>
      <c r="J86" s="21" t="n">
        <v>425</v>
      </c>
      <c r="K86" s="21" t="n">
        <v>33</v>
      </c>
      <c r="L86" s="21" t="n">
        <v>54</v>
      </c>
      <c r="M86" s="21" t="n">
        <v>60</v>
      </c>
      <c r="N86" s="21" t="n">
        <v>1821</v>
      </c>
      <c r="O86" s="21" t="n">
        <v>357</v>
      </c>
      <c r="P86" s="22" t="n">
        <v>3.44</v>
      </c>
      <c r="Q86" s="21" t="n">
        <v>8</v>
      </c>
      <c r="R86" s="22" t="n">
        <v>0.45</v>
      </c>
      <c r="S86" s="23" t="n">
        <v>6</v>
      </c>
      <c r="T86" s="1" t="s">
        <v>87</v>
      </c>
      <c r="U86" s="1" t="s">
        <v>88</v>
      </c>
      <c r="V86" s="21" t="n">
        <f aca="false">J86+K86+L86+M86</f>
        <v>572</v>
      </c>
      <c r="W86" s="22" t="n">
        <f aca="false">ROUND(O86/I86*100,2)</f>
        <v>2.15</v>
      </c>
      <c r="X86" s="1" t="str">
        <f aca="false">IF(R86&gt;0.6,"Positive",IF(R86&lt;0.35,"Negative","Neutral"))</f>
        <v>Neutral</v>
      </c>
      <c r="Y86" s="24" t="n">
        <f aca="false">P86+(ROW()/10000000)</f>
        <v>3.4400086</v>
      </c>
    </row>
    <row r="87" customFormat="false" ht="15" hidden="false" customHeight="true" outlineLevel="0" collapsed="false">
      <c r="A87" s="1" t="s">
        <v>271</v>
      </c>
      <c r="B87" s="1" t="s">
        <v>72</v>
      </c>
      <c r="C87" s="1" t="s">
        <v>272</v>
      </c>
      <c r="D87" s="1" t="s">
        <v>111</v>
      </c>
      <c r="E87" s="1" t="s">
        <v>133</v>
      </c>
      <c r="F87" s="1" t="s">
        <v>86</v>
      </c>
      <c r="G87" s="1" t="s">
        <v>121</v>
      </c>
      <c r="H87" s="21" t="n">
        <v>14487</v>
      </c>
      <c r="I87" s="21" t="n">
        <v>11614</v>
      </c>
      <c r="J87" s="21" t="n">
        <v>1381</v>
      </c>
      <c r="K87" s="21" t="n">
        <v>176</v>
      </c>
      <c r="L87" s="21" t="n">
        <v>204</v>
      </c>
      <c r="M87" s="21" t="n">
        <v>77</v>
      </c>
      <c r="N87" s="21" t="n">
        <v>291</v>
      </c>
      <c r="O87" s="21" t="n">
        <v>39</v>
      </c>
      <c r="P87" s="22" t="n">
        <v>15.83</v>
      </c>
      <c r="Q87" s="21" t="n">
        <v>141</v>
      </c>
      <c r="R87" s="22" t="n">
        <v>0.88</v>
      </c>
      <c r="S87" s="23" t="n">
        <v>6.5</v>
      </c>
      <c r="T87" s="1" t="s">
        <v>108</v>
      </c>
      <c r="U87" s="1" t="s">
        <v>62</v>
      </c>
      <c r="V87" s="21" t="n">
        <f aca="false">J87+K87+L87+M87</f>
        <v>1838</v>
      </c>
      <c r="W87" s="22" t="n">
        <f aca="false">ROUND(O87/I87*100,2)</f>
        <v>0.34</v>
      </c>
      <c r="X87" s="1" t="str">
        <f aca="false">IF(R87&gt;0.6,"Positive",IF(R87&lt;0.35,"Negative","Neutral"))</f>
        <v>Positive</v>
      </c>
      <c r="Y87" s="24" t="n">
        <f aca="false">P87+(ROW()/10000000)</f>
        <v>15.8300087</v>
      </c>
    </row>
    <row r="88" customFormat="false" ht="15" hidden="false" customHeight="true" outlineLevel="0" collapsed="false">
      <c r="A88" s="1" t="s">
        <v>273</v>
      </c>
      <c r="B88" s="1" t="s">
        <v>47</v>
      </c>
      <c r="C88" s="1" t="s">
        <v>274</v>
      </c>
      <c r="D88" s="1" t="s">
        <v>49</v>
      </c>
      <c r="E88" s="1" t="s">
        <v>50</v>
      </c>
      <c r="F88" s="1" t="s">
        <v>97</v>
      </c>
      <c r="G88" s="1" t="s">
        <v>121</v>
      </c>
      <c r="H88" s="21" t="n">
        <v>21097</v>
      </c>
      <c r="I88" s="21" t="n">
        <v>15076</v>
      </c>
      <c r="J88" s="21" t="n">
        <v>2543</v>
      </c>
      <c r="K88" s="21" t="n">
        <v>545</v>
      </c>
      <c r="L88" s="21" t="n">
        <v>218</v>
      </c>
      <c r="M88" s="21" t="n">
        <v>59</v>
      </c>
      <c r="N88" s="21" t="n">
        <v>1599</v>
      </c>
      <c r="O88" s="21" t="n">
        <v>295</v>
      </c>
      <c r="P88" s="22" t="n">
        <v>22.32</v>
      </c>
      <c r="Q88" s="21" t="n">
        <v>116</v>
      </c>
      <c r="R88" s="22" t="n">
        <v>0.36</v>
      </c>
      <c r="S88" s="23" t="n">
        <v>3.8</v>
      </c>
      <c r="T88" s="1" t="s">
        <v>70</v>
      </c>
      <c r="U88" s="1" t="s">
        <v>88</v>
      </c>
      <c r="V88" s="21" t="n">
        <f aca="false">J88+K88+L88+M88</f>
        <v>3365</v>
      </c>
      <c r="W88" s="22" t="n">
        <f aca="false">ROUND(O88/I88*100,2)</f>
        <v>1.96</v>
      </c>
      <c r="X88" s="1" t="str">
        <f aca="false">IF(R88&gt;0.6,"Positive",IF(R88&lt;0.35,"Negative","Neutral"))</f>
        <v>Neutral</v>
      </c>
      <c r="Y88" s="24" t="n">
        <f aca="false">P88+(ROW()/10000000)</f>
        <v>22.3200088</v>
      </c>
    </row>
    <row r="89" customFormat="false" ht="15" hidden="false" customHeight="true" outlineLevel="0" collapsed="false">
      <c r="A89" s="1" t="s">
        <v>275</v>
      </c>
      <c r="B89" s="1" t="s">
        <v>64</v>
      </c>
      <c r="C89" s="1" t="s">
        <v>276</v>
      </c>
      <c r="D89" s="1" t="s">
        <v>66</v>
      </c>
      <c r="E89" s="1" t="s">
        <v>133</v>
      </c>
      <c r="F89" s="1" t="s">
        <v>68</v>
      </c>
      <c r="G89" s="1" t="s">
        <v>60</v>
      </c>
      <c r="H89" s="21" t="n">
        <v>69051</v>
      </c>
      <c r="I89" s="21" t="n">
        <v>49890</v>
      </c>
      <c r="J89" s="21" t="n">
        <v>2402</v>
      </c>
      <c r="K89" s="21" t="n">
        <v>303</v>
      </c>
      <c r="L89" s="21" t="n">
        <v>221</v>
      </c>
      <c r="M89" s="21" t="n">
        <v>3</v>
      </c>
      <c r="N89" s="21" t="n">
        <v>5046</v>
      </c>
      <c r="O89" s="21" t="n">
        <v>1445</v>
      </c>
      <c r="P89" s="22" t="n">
        <v>5.87</v>
      </c>
      <c r="Q89" s="21" t="n">
        <v>118</v>
      </c>
      <c r="R89" s="22" t="n">
        <v>0.59</v>
      </c>
      <c r="S89" s="23" t="n">
        <v>4.7</v>
      </c>
      <c r="T89" s="1" t="s">
        <v>70</v>
      </c>
      <c r="U89" s="1" t="s">
        <v>62</v>
      </c>
      <c r="V89" s="21" t="n">
        <f aca="false">J89+K89+L89+M89</f>
        <v>2929</v>
      </c>
      <c r="W89" s="22" t="n">
        <f aca="false">ROUND(O89/I89*100,2)</f>
        <v>2.9</v>
      </c>
      <c r="X89" s="1" t="str">
        <f aca="false">IF(R89&gt;0.6,"Positive",IF(R89&lt;0.35,"Negative","Neutral"))</f>
        <v>Neutral</v>
      </c>
      <c r="Y89" s="24" t="n">
        <f aca="false">P89+(ROW()/10000000)</f>
        <v>5.8700089</v>
      </c>
    </row>
    <row r="90" customFormat="false" ht="15" hidden="false" customHeight="true" outlineLevel="0" collapsed="false">
      <c r="A90" s="1" t="s">
        <v>277</v>
      </c>
      <c r="B90" s="1" t="s">
        <v>64</v>
      </c>
      <c r="C90" s="1" t="s">
        <v>278</v>
      </c>
      <c r="D90" s="1" t="s">
        <v>58</v>
      </c>
      <c r="E90" s="1" t="s">
        <v>133</v>
      </c>
      <c r="F90" s="1" t="s">
        <v>214</v>
      </c>
      <c r="G90" s="1" t="s">
        <v>60</v>
      </c>
      <c r="H90" s="21" t="n">
        <v>52209</v>
      </c>
      <c r="I90" s="21" t="n">
        <v>44080</v>
      </c>
      <c r="J90" s="21" t="n">
        <v>2127</v>
      </c>
      <c r="K90" s="21" t="n">
        <v>21</v>
      </c>
      <c r="L90" s="21" t="n">
        <v>184</v>
      </c>
      <c r="M90" s="21" t="n">
        <v>406</v>
      </c>
      <c r="N90" s="21" t="n">
        <v>563</v>
      </c>
      <c r="O90" s="21" t="n">
        <v>1412</v>
      </c>
      <c r="P90" s="22" t="n">
        <v>6.21</v>
      </c>
      <c r="Q90" s="21" t="n">
        <v>118</v>
      </c>
      <c r="R90" s="22" t="n">
        <v>0.72</v>
      </c>
      <c r="S90" s="23" t="n">
        <v>7.5</v>
      </c>
      <c r="T90" s="1" t="s">
        <v>152</v>
      </c>
      <c r="U90" s="1" t="s">
        <v>62</v>
      </c>
      <c r="V90" s="21" t="n">
        <f aca="false">J90+K90+L90+M90</f>
        <v>2738</v>
      </c>
      <c r="W90" s="22" t="n">
        <f aca="false">ROUND(O90/I90*100,2)</f>
        <v>3.2</v>
      </c>
      <c r="X90" s="1" t="str">
        <f aca="false">IF(R90&gt;0.6,"Positive",IF(R90&lt;0.35,"Negative","Neutral"))</f>
        <v>Positive</v>
      </c>
      <c r="Y90" s="24" t="n">
        <f aca="false">P90+(ROW()/10000000)</f>
        <v>6.210009</v>
      </c>
    </row>
    <row r="91" customFormat="false" ht="15" hidden="false" customHeight="true" outlineLevel="0" collapsed="false">
      <c r="A91" s="1" t="s">
        <v>279</v>
      </c>
      <c r="B91" s="1" t="s">
        <v>72</v>
      </c>
      <c r="C91" s="1" t="s">
        <v>280</v>
      </c>
      <c r="D91" s="1" t="s">
        <v>66</v>
      </c>
      <c r="E91" s="1" t="s">
        <v>74</v>
      </c>
      <c r="F91" s="1" t="s">
        <v>127</v>
      </c>
      <c r="G91" s="1" t="s">
        <v>94</v>
      </c>
      <c r="H91" s="21" t="n">
        <v>24449</v>
      </c>
      <c r="I91" s="21" t="n">
        <v>19537</v>
      </c>
      <c r="J91" s="21" t="n">
        <v>2854</v>
      </c>
      <c r="K91" s="21" t="n">
        <v>480</v>
      </c>
      <c r="L91" s="21" t="n">
        <v>358</v>
      </c>
      <c r="M91" s="21" t="n">
        <v>493</v>
      </c>
      <c r="N91" s="21" t="n">
        <v>756</v>
      </c>
      <c r="O91" s="21" t="n">
        <v>276</v>
      </c>
      <c r="P91" s="22" t="n">
        <v>21.42</v>
      </c>
      <c r="Q91" s="21" t="n">
        <v>27</v>
      </c>
      <c r="R91" s="22" t="n">
        <v>0.71</v>
      </c>
      <c r="S91" s="23" t="n">
        <v>9.4</v>
      </c>
      <c r="T91" s="1" t="s">
        <v>53</v>
      </c>
      <c r="U91" s="1" t="s">
        <v>62</v>
      </c>
      <c r="V91" s="21" t="n">
        <f aca="false">J91+K91+L91+M91</f>
        <v>4185</v>
      </c>
      <c r="W91" s="22" t="n">
        <f aca="false">ROUND(O91/I91*100,2)</f>
        <v>1.41</v>
      </c>
      <c r="X91" s="1" t="str">
        <f aca="false">IF(R91&gt;0.6,"Positive",IF(R91&lt;0.35,"Negative","Neutral"))</f>
        <v>Positive</v>
      </c>
      <c r="Y91" s="24" t="n">
        <f aca="false">P91+(ROW()/10000000)</f>
        <v>21.4200091</v>
      </c>
    </row>
    <row r="92" customFormat="false" ht="15" hidden="false" customHeight="true" outlineLevel="0" collapsed="false">
      <c r="A92" s="1" t="s">
        <v>281</v>
      </c>
      <c r="B92" s="1" t="s">
        <v>56</v>
      </c>
      <c r="C92" s="1" t="s">
        <v>282</v>
      </c>
      <c r="D92" s="1" t="s">
        <v>49</v>
      </c>
      <c r="E92" s="1" t="s">
        <v>74</v>
      </c>
      <c r="F92" s="1" t="s">
        <v>174</v>
      </c>
      <c r="G92" s="1" t="s">
        <v>94</v>
      </c>
      <c r="H92" s="21" t="n">
        <v>69052</v>
      </c>
      <c r="I92" s="21" t="n">
        <v>46228</v>
      </c>
      <c r="J92" s="21" t="n">
        <v>7806</v>
      </c>
      <c r="K92" s="21" t="n">
        <v>523</v>
      </c>
      <c r="L92" s="21" t="n">
        <v>76</v>
      </c>
      <c r="M92" s="21" t="n">
        <v>1545</v>
      </c>
      <c r="N92" s="21" t="n">
        <v>5309</v>
      </c>
      <c r="O92" s="21" t="n">
        <v>782</v>
      </c>
      <c r="P92" s="22" t="n">
        <v>21.52</v>
      </c>
      <c r="Q92" s="21" t="n">
        <v>141</v>
      </c>
      <c r="R92" s="22" t="n">
        <v>0.4</v>
      </c>
      <c r="S92" s="23" t="n">
        <v>8.4</v>
      </c>
      <c r="T92" s="1" t="s">
        <v>70</v>
      </c>
      <c r="U92" s="1" t="s">
        <v>136</v>
      </c>
      <c r="V92" s="21" t="n">
        <f aca="false">J92+K92+L92+M92</f>
        <v>9950</v>
      </c>
      <c r="W92" s="22" t="n">
        <f aca="false">ROUND(O92/I92*100,2)</f>
        <v>1.69</v>
      </c>
      <c r="X92" s="1" t="str">
        <f aca="false">IF(R92&gt;0.6,"Positive",IF(R92&lt;0.35,"Negative","Neutral"))</f>
        <v>Neutral</v>
      </c>
      <c r="Y92" s="24" t="n">
        <f aca="false">P92+(ROW()/10000000)</f>
        <v>21.5200092</v>
      </c>
    </row>
    <row r="93" customFormat="false" ht="15" hidden="false" customHeight="true" outlineLevel="0" collapsed="false">
      <c r="A93" s="1" t="s">
        <v>283</v>
      </c>
      <c r="B93" s="1" t="s">
        <v>64</v>
      </c>
      <c r="C93" s="1" t="s">
        <v>284</v>
      </c>
      <c r="D93" s="1" t="s">
        <v>58</v>
      </c>
      <c r="E93" s="1" t="s">
        <v>91</v>
      </c>
      <c r="F93" s="1" t="s">
        <v>51</v>
      </c>
      <c r="G93" s="1" t="s">
        <v>81</v>
      </c>
      <c r="H93" s="21" t="n">
        <v>45938</v>
      </c>
      <c r="I93" s="21" t="n">
        <v>38685</v>
      </c>
      <c r="J93" s="21" t="n">
        <v>4114</v>
      </c>
      <c r="K93" s="21" t="n">
        <v>1023</v>
      </c>
      <c r="L93" s="21" t="n">
        <v>378</v>
      </c>
      <c r="M93" s="21" t="n">
        <v>819</v>
      </c>
      <c r="N93" s="21" t="n">
        <v>4263</v>
      </c>
      <c r="O93" s="21" t="n">
        <v>1092</v>
      </c>
      <c r="P93" s="22" t="n">
        <v>16.37</v>
      </c>
      <c r="Q93" s="21" t="n">
        <v>37</v>
      </c>
      <c r="R93" s="22" t="n">
        <v>0.72</v>
      </c>
      <c r="S93" s="23" t="n">
        <v>4</v>
      </c>
      <c r="T93" s="1" t="s">
        <v>61</v>
      </c>
      <c r="U93" s="1" t="s">
        <v>136</v>
      </c>
      <c r="V93" s="21" t="n">
        <f aca="false">J93+K93+L93+M93</f>
        <v>6334</v>
      </c>
      <c r="W93" s="22" t="n">
        <f aca="false">ROUND(O93/I93*100,2)</f>
        <v>2.82</v>
      </c>
      <c r="X93" s="1" t="str">
        <f aca="false">IF(R93&gt;0.6,"Positive",IF(R93&lt;0.35,"Negative","Neutral"))</f>
        <v>Positive</v>
      </c>
      <c r="Y93" s="24" t="n">
        <f aca="false">P93+(ROW()/10000000)</f>
        <v>16.3700093</v>
      </c>
    </row>
    <row r="94" customFormat="false" ht="15" hidden="false" customHeight="true" outlineLevel="0" collapsed="false">
      <c r="A94" s="1" t="s">
        <v>285</v>
      </c>
      <c r="B94" s="1" t="s">
        <v>47</v>
      </c>
      <c r="C94" s="1" t="s">
        <v>171</v>
      </c>
      <c r="D94" s="1" t="s">
        <v>49</v>
      </c>
      <c r="E94" s="1" t="s">
        <v>74</v>
      </c>
      <c r="F94" s="1" t="s">
        <v>127</v>
      </c>
      <c r="G94" s="1" t="s">
        <v>128</v>
      </c>
      <c r="H94" s="21" t="n">
        <v>40250</v>
      </c>
      <c r="I94" s="21" t="n">
        <v>25838</v>
      </c>
      <c r="J94" s="21" t="n">
        <v>3540</v>
      </c>
      <c r="K94" s="21" t="n">
        <v>175</v>
      </c>
      <c r="L94" s="21" t="n">
        <v>456</v>
      </c>
      <c r="M94" s="21" t="n">
        <v>362</v>
      </c>
      <c r="N94" s="21" t="n">
        <v>1841</v>
      </c>
      <c r="O94" s="21" t="n">
        <v>86</v>
      </c>
      <c r="P94" s="22" t="n">
        <v>17.54</v>
      </c>
      <c r="Q94" s="21" t="n">
        <v>175</v>
      </c>
      <c r="R94" s="22" t="n">
        <v>0.62</v>
      </c>
      <c r="S94" s="23" t="n">
        <v>6.2</v>
      </c>
      <c r="T94" s="1" t="s">
        <v>87</v>
      </c>
      <c r="U94" s="1" t="s">
        <v>136</v>
      </c>
      <c r="V94" s="21" t="n">
        <f aca="false">J94+K94+L94+M94</f>
        <v>4533</v>
      </c>
      <c r="W94" s="22" t="n">
        <f aca="false">ROUND(O94/I94*100,2)</f>
        <v>0.33</v>
      </c>
      <c r="X94" s="1" t="str">
        <f aca="false">IF(R94&gt;0.6,"Positive",IF(R94&lt;0.35,"Negative","Neutral"))</f>
        <v>Positive</v>
      </c>
      <c r="Y94" s="24" t="n">
        <f aca="false">P94+(ROW()/10000000)</f>
        <v>17.5400094</v>
      </c>
    </row>
    <row r="95" customFormat="false" ht="15" hidden="false" customHeight="true" outlineLevel="0" collapsed="false">
      <c r="A95" s="1" t="s">
        <v>286</v>
      </c>
      <c r="B95" s="1" t="s">
        <v>56</v>
      </c>
      <c r="C95" s="1" t="s">
        <v>241</v>
      </c>
      <c r="D95" s="1" t="s">
        <v>49</v>
      </c>
      <c r="E95" s="1" t="s">
        <v>163</v>
      </c>
      <c r="F95" s="1" t="s">
        <v>86</v>
      </c>
      <c r="G95" s="1" t="s">
        <v>121</v>
      </c>
      <c r="H95" s="21" t="n">
        <v>90378</v>
      </c>
      <c r="I95" s="21" t="n">
        <v>70891</v>
      </c>
      <c r="J95" s="21" t="n">
        <v>620</v>
      </c>
      <c r="K95" s="21" t="n">
        <v>37</v>
      </c>
      <c r="L95" s="21" t="n">
        <v>10</v>
      </c>
      <c r="M95" s="21" t="n">
        <v>33</v>
      </c>
      <c r="N95" s="21" t="n">
        <v>6011</v>
      </c>
      <c r="O95" s="21" t="n">
        <v>2966</v>
      </c>
      <c r="P95" s="22" t="n">
        <v>0.99</v>
      </c>
      <c r="Q95" s="21" t="n">
        <v>191</v>
      </c>
      <c r="R95" s="22" t="n">
        <v>0.91</v>
      </c>
      <c r="S95" s="23" t="n">
        <v>3.7</v>
      </c>
      <c r="T95" s="1" t="s">
        <v>122</v>
      </c>
      <c r="U95" s="1" t="s">
        <v>136</v>
      </c>
      <c r="V95" s="21" t="n">
        <f aca="false">J95+K95+L95+M95</f>
        <v>700</v>
      </c>
      <c r="W95" s="22" t="n">
        <f aca="false">ROUND(O95/I95*100,2)</f>
        <v>4.18</v>
      </c>
      <c r="X95" s="1" t="str">
        <f aca="false">IF(R95&gt;0.6,"Positive",IF(R95&lt;0.35,"Negative","Neutral"))</f>
        <v>Positive</v>
      </c>
      <c r="Y95" s="24" t="n">
        <f aca="false">P95+(ROW()/10000000)</f>
        <v>0.9900095</v>
      </c>
    </row>
    <row r="96" customFormat="false" ht="15" hidden="false" customHeight="true" outlineLevel="0" collapsed="false">
      <c r="A96" s="1" t="s">
        <v>287</v>
      </c>
      <c r="B96" s="1" t="s">
        <v>64</v>
      </c>
      <c r="C96" s="1" t="s">
        <v>288</v>
      </c>
      <c r="D96" s="1" t="s">
        <v>49</v>
      </c>
      <c r="E96" s="1" t="s">
        <v>163</v>
      </c>
      <c r="F96" s="1" t="s">
        <v>139</v>
      </c>
      <c r="G96" s="1" t="s">
        <v>128</v>
      </c>
      <c r="H96" s="21" t="n">
        <v>49596</v>
      </c>
      <c r="I96" s="21" t="n">
        <v>33200</v>
      </c>
      <c r="J96" s="21" t="n">
        <v>5371</v>
      </c>
      <c r="K96" s="21" t="n">
        <v>575</v>
      </c>
      <c r="L96" s="21" t="n">
        <v>257</v>
      </c>
      <c r="M96" s="21" t="n">
        <v>235</v>
      </c>
      <c r="N96" s="21" t="n">
        <v>116</v>
      </c>
      <c r="O96" s="21" t="n">
        <v>1506</v>
      </c>
      <c r="P96" s="22" t="n">
        <v>19.39</v>
      </c>
      <c r="Q96" s="21" t="n">
        <v>90</v>
      </c>
      <c r="R96" s="22" t="n">
        <v>0.52</v>
      </c>
      <c r="S96" s="23" t="n">
        <v>5.9</v>
      </c>
      <c r="T96" s="1" t="s">
        <v>61</v>
      </c>
      <c r="U96" s="1" t="s">
        <v>98</v>
      </c>
      <c r="V96" s="21" t="n">
        <f aca="false">J96+K96+L96+M96</f>
        <v>6438</v>
      </c>
      <c r="W96" s="22" t="n">
        <f aca="false">ROUND(O96/I96*100,2)</f>
        <v>4.54</v>
      </c>
      <c r="X96" s="1" t="str">
        <f aca="false">IF(R96&gt;0.6,"Positive",IF(R96&lt;0.35,"Negative","Neutral"))</f>
        <v>Neutral</v>
      </c>
      <c r="Y96" s="24" t="n">
        <f aca="false">P96+(ROW()/10000000)</f>
        <v>19.3900096</v>
      </c>
    </row>
    <row r="97" customFormat="false" ht="15" hidden="false" customHeight="true" outlineLevel="0" collapsed="false">
      <c r="A97" s="1" t="s">
        <v>289</v>
      </c>
      <c r="B97" s="1" t="s">
        <v>64</v>
      </c>
      <c r="C97" s="1" t="s">
        <v>290</v>
      </c>
      <c r="D97" s="1" t="s">
        <v>111</v>
      </c>
      <c r="E97" s="1" t="s">
        <v>50</v>
      </c>
      <c r="F97" s="1" t="s">
        <v>139</v>
      </c>
      <c r="G97" s="1" t="s">
        <v>94</v>
      </c>
      <c r="H97" s="21" t="n">
        <v>65882</v>
      </c>
      <c r="I97" s="21" t="n">
        <v>40191</v>
      </c>
      <c r="J97" s="21" t="n">
        <v>1161</v>
      </c>
      <c r="K97" s="21" t="n">
        <v>42</v>
      </c>
      <c r="L97" s="21" t="n">
        <v>117</v>
      </c>
      <c r="M97" s="21" t="n">
        <v>47</v>
      </c>
      <c r="N97" s="21" t="n">
        <v>3656</v>
      </c>
      <c r="O97" s="21" t="n">
        <v>359</v>
      </c>
      <c r="P97" s="22" t="n">
        <v>3.4</v>
      </c>
      <c r="Q97" s="21" t="n">
        <v>158</v>
      </c>
      <c r="R97" s="22" t="n">
        <v>0.67</v>
      </c>
      <c r="S97" s="23" t="n">
        <v>8</v>
      </c>
      <c r="T97" s="1" t="s">
        <v>61</v>
      </c>
      <c r="U97" s="1" t="s">
        <v>82</v>
      </c>
      <c r="V97" s="21" t="n">
        <f aca="false">J97+K97+L97+M97</f>
        <v>1367</v>
      </c>
      <c r="W97" s="22" t="n">
        <f aca="false">ROUND(O97/I97*100,2)</f>
        <v>0.89</v>
      </c>
      <c r="X97" s="1" t="str">
        <f aca="false">IF(R97&gt;0.6,"Positive",IF(R97&lt;0.35,"Negative","Neutral"))</f>
        <v>Positive</v>
      </c>
      <c r="Y97" s="24" t="n">
        <f aca="false">P97+(ROW()/10000000)</f>
        <v>3.4000097</v>
      </c>
    </row>
    <row r="98" customFormat="false" ht="15" hidden="false" customHeight="true" outlineLevel="0" collapsed="false">
      <c r="A98" s="1" t="s">
        <v>291</v>
      </c>
      <c r="B98" s="1" t="s">
        <v>56</v>
      </c>
      <c r="C98" s="1" t="s">
        <v>292</v>
      </c>
      <c r="D98" s="1" t="s">
        <v>103</v>
      </c>
      <c r="E98" s="1" t="s">
        <v>80</v>
      </c>
      <c r="F98" s="1" t="s">
        <v>139</v>
      </c>
      <c r="G98" s="1" t="s">
        <v>81</v>
      </c>
      <c r="H98" s="21" t="n">
        <v>27842</v>
      </c>
      <c r="I98" s="21" t="n">
        <v>21928</v>
      </c>
      <c r="J98" s="21" t="n">
        <v>1019</v>
      </c>
      <c r="K98" s="21" t="n">
        <v>207</v>
      </c>
      <c r="L98" s="21" t="n">
        <v>128</v>
      </c>
      <c r="M98" s="21" t="n">
        <v>9</v>
      </c>
      <c r="N98" s="21" t="n">
        <v>1488</v>
      </c>
      <c r="O98" s="21" t="n">
        <v>1134</v>
      </c>
      <c r="P98" s="22" t="n">
        <v>6.22</v>
      </c>
      <c r="Q98" s="21" t="n">
        <v>288</v>
      </c>
      <c r="R98" s="22" t="n">
        <v>0.41</v>
      </c>
      <c r="S98" s="23" t="n">
        <v>8.6</v>
      </c>
      <c r="T98" s="1" t="s">
        <v>70</v>
      </c>
      <c r="U98" s="1" t="s">
        <v>88</v>
      </c>
      <c r="V98" s="21" t="n">
        <f aca="false">J98+K98+L98+M98</f>
        <v>1363</v>
      </c>
      <c r="W98" s="22" t="n">
        <f aca="false">ROUND(O98/I98*100,2)</f>
        <v>5.17</v>
      </c>
      <c r="X98" s="1" t="str">
        <f aca="false">IF(R98&gt;0.6,"Positive",IF(R98&lt;0.35,"Negative","Neutral"))</f>
        <v>Neutral</v>
      </c>
      <c r="Y98" s="24" t="n">
        <f aca="false">P98+(ROW()/10000000)</f>
        <v>6.2200098</v>
      </c>
    </row>
    <row r="99" customFormat="false" ht="15" hidden="false" customHeight="true" outlineLevel="0" collapsed="false">
      <c r="A99" s="1" t="s">
        <v>293</v>
      </c>
      <c r="B99" s="1" t="s">
        <v>72</v>
      </c>
      <c r="C99" s="1" t="s">
        <v>294</v>
      </c>
      <c r="D99" s="1" t="s">
        <v>58</v>
      </c>
      <c r="E99" s="1" t="s">
        <v>91</v>
      </c>
      <c r="F99" s="1" t="s">
        <v>86</v>
      </c>
      <c r="G99" s="1" t="s">
        <v>81</v>
      </c>
      <c r="H99" s="21" t="n">
        <v>55343</v>
      </c>
      <c r="I99" s="21" t="n">
        <v>43209</v>
      </c>
      <c r="J99" s="21" t="n">
        <v>6794</v>
      </c>
      <c r="K99" s="21" t="n">
        <v>1182</v>
      </c>
      <c r="L99" s="21" t="n">
        <v>77</v>
      </c>
      <c r="M99" s="21" t="n">
        <v>259</v>
      </c>
      <c r="N99" s="21" t="n">
        <v>2607</v>
      </c>
      <c r="O99" s="21" t="n">
        <v>303</v>
      </c>
      <c r="P99" s="22" t="n">
        <v>19.24</v>
      </c>
      <c r="Q99" s="21" t="n">
        <v>225</v>
      </c>
      <c r="R99" s="22" t="n">
        <v>0.5</v>
      </c>
      <c r="S99" s="23" t="n">
        <v>6.8</v>
      </c>
      <c r="T99" s="1" t="s">
        <v>152</v>
      </c>
      <c r="U99" s="1" t="s">
        <v>54</v>
      </c>
      <c r="V99" s="21" t="n">
        <f aca="false">J99+K99+L99+M99</f>
        <v>8312</v>
      </c>
      <c r="W99" s="22" t="n">
        <f aca="false">ROUND(O99/I99*100,2)</f>
        <v>0.7</v>
      </c>
      <c r="X99" s="1" t="str">
        <f aca="false">IF(R99&gt;0.6,"Positive",IF(R99&lt;0.35,"Negative","Neutral"))</f>
        <v>Neutral</v>
      </c>
      <c r="Y99" s="24" t="n">
        <f aca="false">P99+(ROW()/10000000)</f>
        <v>19.2400099</v>
      </c>
    </row>
    <row r="100" customFormat="false" ht="15" hidden="false" customHeight="true" outlineLevel="0" collapsed="false">
      <c r="A100" s="1" t="s">
        <v>295</v>
      </c>
      <c r="B100" s="1" t="s">
        <v>47</v>
      </c>
      <c r="C100" s="1" t="s">
        <v>296</v>
      </c>
      <c r="D100" s="1" t="s">
        <v>49</v>
      </c>
      <c r="E100" s="1" t="s">
        <v>163</v>
      </c>
      <c r="F100" s="1" t="s">
        <v>86</v>
      </c>
      <c r="G100" s="1" t="s">
        <v>94</v>
      </c>
      <c r="H100" s="21" t="n">
        <v>23081</v>
      </c>
      <c r="I100" s="21" t="n">
        <v>13816</v>
      </c>
      <c r="J100" s="21" t="n">
        <v>973</v>
      </c>
      <c r="K100" s="21" t="n">
        <v>93</v>
      </c>
      <c r="L100" s="21" t="n">
        <v>134</v>
      </c>
      <c r="M100" s="21" t="n">
        <v>75</v>
      </c>
      <c r="N100" s="21" t="n">
        <v>171</v>
      </c>
      <c r="O100" s="21" t="n">
        <v>256</v>
      </c>
      <c r="P100" s="22" t="n">
        <v>9.23</v>
      </c>
      <c r="Q100" s="21" t="n">
        <v>95</v>
      </c>
      <c r="R100" s="22" t="n">
        <v>0.64</v>
      </c>
      <c r="S100" s="23" t="n">
        <v>7</v>
      </c>
      <c r="T100" s="1" t="s">
        <v>70</v>
      </c>
      <c r="U100" s="1" t="s">
        <v>82</v>
      </c>
      <c r="V100" s="21" t="n">
        <f aca="false">J100+K100+L100+M100</f>
        <v>1275</v>
      </c>
      <c r="W100" s="22" t="n">
        <f aca="false">ROUND(O100/I100*100,2)</f>
        <v>1.85</v>
      </c>
      <c r="X100" s="1" t="str">
        <f aca="false">IF(R100&gt;0.6,"Positive",IF(R100&lt;0.35,"Negative","Neutral"))</f>
        <v>Positive</v>
      </c>
      <c r="Y100" s="24" t="n">
        <f aca="false">P100+(ROW()/10000000)</f>
        <v>9.23001</v>
      </c>
    </row>
    <row r="101" customFormat="false" ht="15" hidden="false" customHeight="true" outlineLevel="0" collapsed="false">
      <c r="A101" s="1" t="s">
        <v>297</v>
      </c>
      <c r="B101" s="1" t="s">
        <v>56</v>
      </c>
      <c r="C101" s="1" t="s">
        <v>298</v>
      </c>
      <c r="D101" s="1" t="s">
        <v>111</v>
      </c>
      <c r="E101" s="1" t="s">
        <v>74</v>
      </c>
      <c r="F101" s="1" t="s">
        <v>164</v>
      </c>
      <c r="G101" s="1" t="s">
        <v>121</v>
      </c>
      <c r="H101" s="21" t="n">
        <v>6899</v>
      </c>
      <c r="I101" s="21" t="n">
        <v>5502</v>
      </c>
      <c r="J101" s="21" t="n">
        <v>79</v>
      </c>
      <c r="K101" s="21" t="n">
        <v>6</v>
      </c>
      <c r="L101" s="21" t="n">
        <v>2</v>
      </c>
      <c r="M101" s="21" t="n">
        <v>13</v>
      </c>
      <c r="N101" s="21" t="n">
        <v>600</v>
      </c>
      <c r="O101" s="21" t="n">
        <v>135</v>
      </c>
      <c r="P101" s="22" t="n">
        <v>1.82</v>
      </c>
      <c r="Q101" s="21" t="n">
        <v>102</v>
      </c>
      <c r="R101" s="22" t="n">
        <v>0.75</v>
      </c>
      <c r="S101" s="23" t="n">
        <v>6.1</v>
      </c>
      <c r="T101" s="1" t="s">
        <v>61</v>
      </c>
      <c r="U101" s="1" t="s">
        <v>98</v>
      </c>
      <c r="V101" s="21" t="n">
        <f aca="false">J101+K101+L101+M101</f>
        <v>100</v>
      </c>
      <c r="W101" s="22" t="n">
        <f aca="false">ROUND(O101/I101*100,2)</f>
        <v>2.45</v>
      </c>
      <c r="X101" s="1" t="str">
        <f aca="false">IF(R101&gt;0.6,"Positive",IF(R101&lt;0.35,"Negative","Neutral"))</f>
        <v>Positive</v>
      </c>
      <c r="Y101" s="24" t="n">
        <f aca="false">P101+(ROW()/10000000)</f>
        <v>1.8200101</v>
      </c>
    </row>
    <row r="102" customFormat="false" ht="15" hidden="false" customHeight="true" outlineLevel="0" collapsed="false">
      <c r="A102" s="1" t="s">
        <v>299</v>
      </c>
      <c r="B102" s="1" t="s">
        <v>64</v>
      </c>
      <c r="C102" s="1" t="s">
        <v>300</v>
      </c>
      <c r="D102" s="1" t="s">
        <v>111</v>
      </c>
      <c r="E102" s="1" t="s">
        <v>106</v>
      </c>
      <c r="F102" s="1" t="s">
        <v>174</v>
      </c>
      <c r="G102" s="1" t="s">
        <v>60</v>
      </c>
      <c r="H102" s="21" t="n">
        <v>60946</v>
      </c>
      <c r="I102" s="21" t="n">
        <v>34854</v>
      </c>
      <c r="J102" s="21" t="n">
        <v>540</v>
      </c>
      <c r="K102" s="21" t="n">
        <v>45</v>
      </c>
      <c r="L102" s="21" t="n">
        <v>58</v>
      </c>
      <c r="M102" s="21" t="n">
        <v>56</v>
      </c>
      <c r="N102" s="21" t="n">
        <v>3976</v>
      </c>
      <c r="O102" s="21" t="n">
        <v>1902</v>
      </c>
      <c r="P102" s="22" t="n">
        <v>2.01</v>
      </c>
      <c r="Q102" s="21" t="n">
        <v>99</v>
      </c>
      <c r="R102" s="22" t="n">
        <v>0.39</v>
      </c>
      <c r="S102" s="23" t="n">
        <v>4.4</v>
      </c>
      <c r="T102" s="1" t="s">
        <v>87</v>
      </c>
      <c r="U102" s="1" t="s">
        <v>82</v>
      </c>
      <c r="V102" s="21" t="n">
        <f aca="false">J102+K102+L102+M102</f>
        <v>699</v>
      </c>
      <c r="W102" s="22" t="n">
        <f aca="false">ROUND(O102/I102*100,2)</f>
        <v>5.46</v>
      </c>
      <c r="X102" s="1" t="str">
        <f aca="false">IF(R102&gt;0.6,"Positive",IF(R102&lt;0.35,"Negative","Neutral"))</f>
        <v>Neutral</v>
      </c>
      <c r="Y102" s="24" t="n">
        <f aca="false">P102+(ROW()/10000000)</f>
        <v>2.0100102</v>
      </c>
    </row>
    <row r="103" customFormat="false" ht="15" hidden="false" customHeight="true" outlineLevel="0" collapsed="false">
      <c r="A103" s="1" t="s">
        <v>301</v>
      </c>
      <c r="B103" s="1" t="s">
        <v>72</v>
      </c>
      <c r="C103" s="1" t="s">
        <v>272</v>
      </c>
      <c r="D103" s="1" t="s">
        <v>66</v>
      </c>
      <c r="E103" s="1" t="s">
        <v>67</v>
      </c>
      <c r="F103" s="1" t="s">
        <v>97</v>
      </c>
      <c r="G103" s="1" t="s">
        <v>69</v>
      </c>
      <c r="H103" s="21" t="n">
        <v>33185</v>
      </c>
      <c r="I103" s="21" t="n">
        <v>22895</v>
      </c>
      <c r="J103" s="21" t="n">
        <v>1145</v>
      </c>
      <c r="K103" s="21" t="n">
        <v>235</v>
      </c>
      <c r="L103" s="21" t="n">
        <v>65</v>
      </c>
      <c r="M103" s="21" t="n">
        <v>39</v>
      </c>
      <c r="N103" s="21" t="n">
        <v>406</v>
      </c>
      <c r="O103" s="21" t="n">
        <v>103</v>
      </c>
      <c r="P103" s="22" t="n">
        <v>6.48</v>
      </c>
      <c r="Q103" s="21" t="n">
        <v>143</v>
      </c>
      <c r="R103" s="22" t="n">
        <v>0.9</v>
      </c>
      <c r="S103" s="23" t="n">
        <v>8.9</v>
      </c>
      <c r="T103" s="1" t="s">
        <v>152</v>
      </c>
      <c r="U103" s="1" t="s">
        <v>136</v>
      </c>
      <c r="V103" s="21" t="n">
        <f aca="false">J103+K103+L103+M103</f>
        <v>1484</v>
      </c>
      <c r="W103" s="22" t="n">
        <f aca="false">ROUND(O103/I103*100,2)</f>
        <v>0.45</v>
      </c>
      <c r="X103" s="1" t="str">
        <f aca="false">IF(R103&gt;0.6,"Positive",IF(R103&lt;0.35,"Negative","Neutral"))</f>
        <v>Positive</v>
      </c>
      <c r="Y103" s="24" t="n">
        <f aca="false">P103+(ROW()/10000000)</f>
        <v>6.4800103</v>
      </c>
    </row>
    <row r="104" customFormat="false" ht="15" hidden="false" customHeight="true" outlineLevel="0" collapsed="false">
      <c r="A104" s="1" t="s">
        <v>302</v>
      </c>
      <c r="B104" s="1" t="s">
        <v>72</v>
      </c>
      <c r="C104" s="1" t="s">
        <v>303</v>
      </c>
      <c r="D104" s="1" t="s">
        <v>111</v>
      </c>
      <c r="E104" s="1" t="s">
        <v>163</v>
      </c>
      <c r="F104" s="1" t="s">
        <v>59</v>
      </c>
      <c r="G104" s="1" t="s">
        <v>52</v>
      </c>
      <c r="H104" s="21" t="n">
        <v>68966</v>
      </c>
      <c r="I104" s="21" t="n">
        <v>47589</v>
      </c>
      <c r="J104" s="21" t="n">
        <v>5105</v>
      </c>
      <c r="K104" s="21" t="n">
        <v>1023</v>
      </c>
      <c r="L104" s="21" t="n">
        <v>25</v>
      </c>
      <c r="M104" s="21" t="n">
        <v>95</v>
      </c>
      <c r="N104" s="21" t="n">
        <v>3231</v>
      </c>
      <c r="O104" s="21" t="n">
        <v>2070</v>
      </c>
      <c r="P104" s="22" t="n">
        <v>13.13</v>
      </c>
      <c r="Q104" s="21" t="n">
        <v>229</v>
      </c>
      <c r="R104" s="22" t="n">
        <v>0.92</v>
      </c>
      <c r="S104" s="23" t="n">
        <v>4.9</v>
      </c>
      <c r="T104" s="1" t="s">
        <v>140</v>
      </c>
      <c r="U104" s="1" t="s">
        <v>98</v>
      </c>
      <c r="V104" s="21" t="n">
        <f aca="false">J104+K104+L104+M104</f>
        <v>6248</v>
      </c>
      <c r="W104" s="22" t="n">
        <f aca="false">ROUND(O104/I104*100,2)</f>
        <v>4.35</v>
      </c>
      <c r="X104" s="1" t="str">
        <f aca="false">IF(R104&gt;0.6,"Positive",IF(R104&lt;0.35,"Negative","Neutral"))</f>
        <v>Positive</v>
      </c>
      <c r="Y104" s="24" t="n">
        <f aca="false">P104+(ROW()/10000000)</f>
        <v>13.1300104</v>
      </c>
    </row>
    <row r="105" customFormat="false" ht="15" hidden="false" customHeight="true" outlineLevel="0" collapsed="false">
      <c r="A105" s="1" t="s">
        <v>304</v>
      </c>
      <c r="B105" s="1" t="s">
        <v>64</v>
      </c>
      <c r="C105" s="1" t="s">
        <v>305</v>
      </c>
      <c r="D105" s="1" t="s">
        <v>66</v>
      </c>
      <c r="E105" s="1" t="s">
        <v>91</v>
      </c>
      <c r="F105" s="1" t="s">
        <v>139</v>
      </c>
      <c r="G105" s="1" t="s">
        <v>69</v>
      </c>
      <c r="H105" s="21" t="n">
        <v>71845</v>
      </c>
      <c r="I105" s="21" t="n">
        <v>39691</v>
      </c>
      <c r="J105" s="21" t="n">
        <v>930</v>
      </c>
      <c r="K105" s="21" t="n">
        <v>115</v>
      </c>
      <c r="L105" s="21" t="n">
        <v>36</v>
      </c>
      <c r="M105" s="21" t="n">
        <v>70</v>
      </c>
      <c r="N105" s="21" t="n">
        <v>3006</v>
      </c>
      <c r="O105" s="21" t="n">
        <v>1651</v>
      </c>
      <c r="P105" s="22" t="n">
        <v>2.9</v>
      </c>
      <c r="Q105" s="21" t="n">
        <v>182</v>
      </c>
      <c r="R105" s="22" t="n">
        <v>0.14</v>
      </c>
      <c r="S105" s="23" t="n">
        <v>3.8</v>
      </c>
      <c r="T105" s="1" t="s">
        <v>122</v>
      </c>
      <c r="U105" s="1" t="s">
        <v>98</v>
      </c>
      <c r="V105" s="21" t="n">
        <f aca="false">J105+K105+L105+M105</f>
        <v>1151</v>
      </c>
      <c r="W105" s="22" t="n">
        <f aca="false">ROUND(O105/I105*100,2)</f>
        <v>4.16</v>
      </c>
      <c r="X105" s="1" t="str">
        <f aca="false">IF(R105&gt;0.6,"Positive",IF(R105&lt;0.35,"Negative","Neutral"))</f>
        <v>Negative</v>
      </c>
      <c r="Y105" s="24" t="n">
        <f aca="false">P105+(ROW()/10000000)</f>
        <v>2.9000105</v>
      </c>
    </row>
    <row r="106" customFormat="false" ht="15" hidden="false" customHeight="true" outlineLevel="0" collapsed="false">
      <c r="A106" s="1" t="s">
        <v>306</v>
      </c>
      <c r="B106" s="1" t="s">
        <v>47</v>
      </c>
      <c r="C106" s="1" t="s">
        <v>307</v>
      </c>
      <c r="D106" s="1" t="s">
        <v>58</v>
      </c>
      <c r="E106" s="1" t="s">
        <v>91</v>
      </c>
      <c r="F106" s="1" t="s">
        <v>59</v>
      </c>
      <c r="G106" s="1" t="s">
        <v>81</v>
      </c>
      <c r="H106" s="21" t="n">
        <v>38163</v>
      </c>
      <c r="I106" s="21" t="n">
        <v>30438</v>
      </c>
      <c r="J106" s="21" t="n">
        <v>5155</v>
      </c>
      <c r="K106" s="21" t="n">
        <v>1256</v>
      </c>
      <c r="L106" s="21" t="n">
        <v>123</v>
      </c>
      <c r="M106" s="21" t="n">
        <v>266</v>
      </c>
      <c r="N106" s="21" t="n">
        <v>406</v>
      </c>
      <c r="O106" s="21" t="n">
        <v>806</v>
      </c>
      <c r="P106" s="22" t="n">
        <v>22.34</v>
      </c>
      <c r="Q106" s="21" t="n">
        <v>186</v>
      </c>
      <c r="R106" s="22" t="n">
        <v>0.78</v>
      </c>
      <c r="S106" s="23" t="n">
        <v>5.6</v>
      </c>
      <c r="T106" s="1" t="s">
        <v>53</v>
      </c>
      <c r="U106" s="1" t="s">
        <v>54</v>
      </c>
      <c r="V106" s="21" t="n">
        <f aca="false">J106+K106+L106+M106</f>
        <v>6800</v>
      </c>
      <c r="W106" s="22" t="n">
        <f aca="false">ROUND(O106/I106*100,2)</f>
        <v>2.65</v>
      </c>
      <c r="X106" s="1" t="str">
        <f aca="false">IF(R106&gt;0.6,"Positive",IF(R106&lt;0.35,"Negative","Neutral"))</f>
        <v>Positive</v>
      </c>
      <c r="Y106" s="24" t="n">
        <f aca="false">P106+(ROW()/10000000)</f>
        <v>22.3400106</v>
      </c>
    </row>
    <row r="107" customFormat="false" ht="15" hidden="false" customHeight="true" outlineLevel="0" collapsed="false">
      <c r="A107" s="1" t="s">
        <v>308</v>
      </c>
      <c r="B107" s="1" t="s">
        <v>47</v>
      </c>
      <c r="C107" s="1" t="s">
        <v>265</v>
      </c>
      <c r="D107" s="1" t="s">
        <v>49</v>
      </c>
      <c r="E107" s="1" t="s">
        <v>133</v>
      </c>
      <c r="F107" s="1" t="s">
        <v>160</v>
      </c>
      <c r="G107" s="1" t="s">
        <v>94</v>
      </c>
      <c r="H107" s="21" t="n">
        <v>45152</v>
      </c>
      <c r="I107" s="21" t="n">
        <v>35723</v>
      </c>
      <c r="J107" s="21" t="n">
        <v>4304</v>
      </c>
      <c r="K107" s="21" t="n">
        <v>940</v>
      </c>
      <c r="L107" s="21" t="n">
        <v>154</v>
      </c>
      <c r="M107" s="21" t="n">
        <v>623</v>
      </c>
      <c r="N107" s="21" t="n">
        <v>4233</v>
      </c>
      <c r="O107" s="21" t="n">
        <v>572</v>
      </c>
      <c r="P107" s="22" t="n">
        <v>16.85</v>
      </c>
      <c r="Q107" s="21" t="n">
        <v>162</v>
      </c>
      <c r="R107" s="22" t="n">
        <v>0.89</v>
      </c>
      <c r="S107" s="23" t="n">
        <v>5.5</v>
      </c>
      <c r="T107" s="1" t="s">
        <v>122</v>
      </c>
      <c r="U107" s="1" t="s">
        <v>113</v>
      </c>
      <c r="V107" s="21" t="n">
        <f aca="false">J107+K107+L107+M107</f>
        <v>6021</v>
      </c>
      <c r="W107" s="22" t="n">
        <f aca="false">ROUND(O107/I107*100,2)</f>
        <v>1.6</v>
      </c>
      <c r="X107" s="1" t="str">
        <f aca="false">IF(R107&gt;0.6,"Positive",IF(R107&lt;0.35,"Negative","Neutral"))</f>
        <v>Positive</v>
      </c>
      <c r="Y107" s="24" t="n">
        <f aca="false">P107+(ROW()/10000000)</f>
        <v>16.8500107</v>
      </c>
    </row>
    <row r="108" customFormat="false" ht="15" hidden="false" customHeight="true" outlineLevel="0" collapsed="false">
      <c r="A108" s="1" t="s">
        <v>309</v>
      </c>
      <c r="B108" s="1" t="s">
        <v>72</v>
      </c>
      <c r="C108" s="1" t="s">
        <v>310</v>
      </c>
      <c r="D108" s="1" t="s">
        <v>58</v>
      </c>
      <c r="E108" s="1" t="s">
        <v>133</v>
      </c>
      <c r="F108" s="1" t="s">
        <v>214</v>
      </c>
      <c r="G108" s="1" t="s">
        <v>69</v>
      </c>
      <c r="H108" s="21" t="n">
        <v>44916</v>
      </c>
      <c r="I108" s="21" t="n">
        <v>33783</v>
      </c>
      <c r="J108" s="21" t="n">
        <v>3462</v>
      </c>
      <c r="K108" s="21" t="n">
        <v>602</v>
      </c>
      <c r="L108" s="21" t="n">
        <v>317</v>
      </c>
      <c r="M108" s="21" t="n">
        <v>647</v>
      </c>
      <c r="N108" s="21" t="n">
        <v>119</v>
      </c>
      <c r="O108" s="21" t="n">
        <v>1222</v>
      </c>
      <c r="P108" s="22" t="n">
        <v>14.88</v>
      </c>
      <c r="Q108" s="21" t="n">
        <v>237</v>
      </c>
      <c r="R108" s="22" t="n">
        <v>0.33</v>
      </c>
      <c r="S108" s="23" t="n">
        <v>7.6</v>
      </c>
      <c r="T108" s="1" t="s">
        <v>140</v>
      </c>
      <c r="U108" s="1" t="s">
        <v>113</v>
      </c>
      <c r="V108" s="21" t="n">
        <f aca="false">J108+K108+L108+M108</f>
        <v>5028</v>
      </c>
      <c r="W108" s="22" t="n">
        <f aca="false">ROUND(O108/I108*100,2)</f>
        <v>3.62</v>
      </c>
      <c r="X108" s="1" t="str">
        <f aca="false">IF(R108&gt;0.6,"Positive",IF(R108&lt;0.35,"Negative","Neutral"))</f>
        <v>Negative</v>
      </c>
      <c r="Y108" s="24" t="n">
        <f aca="false">P108+(ROW()/10000000)</f>
        <v>14.8800108</v>
      </c>
    </row>
    <row r="109" customFormat="false" ht="15" hidden="false" customHeight="true" outlineLevel="0" collapsed="false">
      <c r="A109" s="1" t="s">
        <v>311</v>
      </c>
      <c r="B109" s="1" t="s">
        <v>56</v>
      </c>
      <c r="C109" s="1" t="s">
        <v>312</v>
      </c>
      <c r="D109" s="1" t="s">
        <v>66</v>
      </c>
      <c r="E109" s="1" t="s">
        <v>106</v>
      </c>
      <c r="F109" s="1" t="s">
        <v>97</v>
      </c>
      <c r="G109" s="1" t="s">
        <v>121</v>
      </c>
      <c r="H109" s="21" t="n">
        <v>90724</v>
      </c>
      <c r="I109" s="21" t="n">
        <v>56490</v>
      </c>
      <c r="J109" s="21" t="n">
        <v>9430</v>
      </c>
      <c r="K109" s="21" t="n">
        <v>455</v>
      </c>
      <c r="L109" s="21" t="n">
        <v>392</v>
      </c>
      <c r="M109" s="21" t="n">
        <v>41</v>
      </c>
      <c r="N109" s="21" t="n">
        <v>3622</v>
      </c>
      <c r="O109" s="21" t="n">
        <v>1284</v>
      </c>
      <c r="P109" s="22" t="n">
        <v>18.27</v>
      </c>
      <c r="Q109" s="21" t="n">
        <v>209</v>
      </c>
      <c r="R109" s="22" t="n">
        <v>0.23</v>
      </c>
      <c r="S109" s="23" t="n">
        <v>7.9</v>
      </c>
      <c r="T109" s="1" t="s">
        <v>140</v>
      </c>
      <c r="U109" s="1" t="s">
        <v>82</v>
      </c>
      <c r="V109" s="21" t="n">
        <f aca="false">J109+K109+L109+M109</f>
        <v>10318</v>
      </c>
      <c r="W109" s="22" t="n">
        <f aca="false">ROUND(O109/I109*100,2)</f>
        <v>2.27</v>
      </c>
      <c r="X109" s="1" t="str">
        <f aca="false">IF(R109&gt;0.6,"Positive",IF(R109&lt;0.35,"Negative","Neutral"))</f>
        <v>Negative</v>
      </c>
      <c r="Y109" s="24" t="n">
        <f aca="false">P109+(ROW()/10000000)</f>
        <v>18.2700109</v>
      </c>
    </row>
    <row r="110" customFormat="false" ht="15" hidden="false" customHeight="true" outlineLevel="0" collapsed="false">
      <c r="A110" s="1" t="s">
        <v>313</v>
      </c>
      <c r="B110" s="1" t="s">
        <v>56</v>
      </c>
      <c r="C110" s="1" t="s">
        <v>314</v>
      </c>
      <c r="D110" s="1" t="s">
        <v>66</v>
      </c>
      <c r="E110" s="1" t="s">
        <v>74</v>
      </c>
      <c r="F110" s="1" t="s">
        <v>112</v>
      </c>
      <c r="G110" s="1" t="s">
        <v>94</v>
      </c>
      <c r="H110" s="21" t="n">
        <v>64201</v>
      </c>
      <c r="I110" s="21" t="n">
        <v>45431</v>
      </c>
      <c r="J110" s="21" t="n">
        <v>2620</v>
      </c>
      <c r="K110" s="21" t="n">
        <v>182</v>
      </c>
      <c r="L110" s="21" t="n">
        <v>237</v>
      </c>
      <c r="M110" s="21" t="n">
        <v>353</v>
      </c>
      <c r="N110" s="21" t="n">
        <v>4485</v>
      </c>
      <c r="O110" s="21" t="n">
        <v>1451</v>
      </c>
      <c r="P110" s="22" t="n">
        <v>7.47</v>
      </c>
      <c r="Q110" s="21" t="n">
        <v>130</v>
      </c>
      <c r="R110" s="22" t="n">
        <v>0.62</v>
      </c>
      <c r="S110" s="23" t="n">
        <v>4.7</v>
      </c>
      <c r="T110" s="1" t="s">
        <v>61</v>
      </c>
      <c r="U110" s="1" t="s">
        <v>77</v>
      </c>
      <c r="V110" s="21" t="n">
        <f aca="false">J110+K110+L110+M110</f>
        <v>3392</v>
      </c>
      <c r="W110" s="22" t="n">
        <f aca="false">ROUND(O110/I110*100,2)</f>
        <v>3.19</v>
      </c>
      <c r="X110" s="1" t="str">
        <f aca="false">IF(R110&gt;0.6,"Positive",IF(R110&lt;0.35,"Negative","Neutral"))</f>
        <v>Positive</v>
      </c>
      <c r="Y110" s="24" t="n">
        <f aca="false">P110+(ROW()/10000000)</f>
        <v>7.470011</v>
      </c>
    </row>
    <row r="111" customFormat="false" ht="15" hidden="false" customHeight="true" outlineLevel="0" collapsed="false">
      <c r="A111" s="1" t="s">
        <v>315</v>
      </c>
      <c r="B111" s="1" t="s">
        <v>72</v>
      </c>
      <c r="C111" s="1" t="s">
        <v>316</v>
      </c>
      <c r="D111" s="1" t="s">
        <v>103</v>
      </c>
      <c r="E111" s="1" t="s">
        <v>80</v>
      </c>
      <c r="F111" s="1" t="s">
        <v>160</v>
      </c>
      <c r="G111" s="1" t="s">
        <v>60</v>
      </c>
      <c r="H111" s="21" t="n">
        <v>93904</v>
      </c>
      <c r="I111" s="21" t="n">
        <v>65423</v>
      </c>
      <c r="J111" s="21" t="n">
        <v>7911</v>
      </c>
      <c r="K111" s="21" t="n">
        <v>719</v>
      </c>
      <c r="L111" s="21" t="n">
        <v>1149</v>
      </c>
      <c r="M111" s="21" t="n">
        <v>1480</v>
      </c>
      <c r="N111" s="21" t="n">
        <v>2250</v>
      </c>
      <c r="O111" s="21" t="n">
        <v>1178</v>
      </c>
      <c r="P111" s="22" t="n">
        <v>17.21</v>
      </c>
      <c r="Q111" s="21" t="n">
        <v>57</v>
      </c>
      <c r="R111" s="22" t="n">
        <v>0.59</v>
      </c>
      <c r="S111" s="23" t="n">
        <v>6.9</v>
      </c>
      <c r="T111" s="1" t="s">
        <v>152</v>
      </c>
      <c r="U111" s="1" t="s">
        <v>98</v>
      </c>
      <c r="V111" s="21" t="n">
        <f aca="false">J111+K111+L111+M111</f>
        <v>11259</v>
      </c>
      <c r="W111" s="22" t="n">
        <f aca="false">ROUND(O111/I111*100,2)</f>
        <v>1.8</v>
      </c>
      <c r="X111" s="1" t="str">
        <f aca="false">IF(R111&gt;0.6,"Positive",IF(R111&lt;0.35,"Negative","Neutral"))</f>
        <v>Neutral</v>
      </c>
      <c r="Y111" s="24" t="n">
        <f aca="false">P111+(ROW()/10000000)</f>
        <v>17.2100111</v>
      </c>
    </row>
    <row r="112" customFormat="false" ht="15" hidden="false" customHeight="true" outlineLevel="0" collapsed="false">
      <c r="A112" s="1" t="s">
        <v>317</v>
      </c>
      <c r="B112" s="1" t="s">
        <v>47</v>
      </c>
      <c r="C112" s="1" t="s">
        <v>318</v>
      </c>
      <c r="D112" s="1" t="s">
        <v>103</v>
      </c>
      <c r="E112" s="1" t="s">
        <v>67</v>
      </c>
      <c r="F112" s="1" t="s">
        <v>51</v>
      </c>
      <c r="G112" s="1" t="s">
        <v>69</v>
      </c>
      <c r="H112" s="21" t="n">
        <v>59483</v>
      </c>
      <c r="I112" s="21" t="n">
        <v>44421</v>
      </c>
      <c r="J112" s="21" t="n">
        <v>6172</v>
      </c>
      <c r="K112" s="21" t="n">
        <v>986</v>
      </c>
      <c r="L112" s="21" t="n">
        <v>221</v>
      </c>
      <c r="M112" s="21" t="n">
        <v>416</v>
      </c>
      <c r="N112" s="21" t="n">
        <v>4422</v>
      </c>
      <c r="O112" s="21" t="n">
        <v>1110</v>
      </c>
      <c r="P112" s="22" t="n">
        <v>17.55</v>
      </c>
      <c r="Q112" s="21" t="n">
        <v>282</v>
      </c>
      <c r="R112" s="22" t="n">
        <v>0.69</v>
      </c>
      <c r="S112" s="23" t="n">
        <v>4.4</v>
      </c>
      <c r="T112" s="1" t="s">
        <v>53</v>
      </c>
      <c r="U112" s="1" t="s">
        <v>62</v>
      </c>
      <c r="V112" s="21" t="n">
        <f aca="false">J112+K112+L112+M112</f>
        <v>7795</v>
      </c>
      <c r="W112" s="22" t="n">
        <f aca="false">ROUND(O112/I112*100,2)</f>
        <v>2.5</v>
      </c>
      <c r="X112" s="1" t="str">
        <f aca="false">IF(R112&gt;0.6,"Positive",IF(R112&lt;0.35,"Negative","Neutral"))</f>
        <v>Positive</v>
      </c>
      <c r="Y112" s="24" t="n">
        <f aca="false">P112+(ROW()/10000000)</f>
        <v>17.5500112</v>
      </c>
    </row>
    <row r="113" customFormat="false" ht="15" hidden="false" customHeight="true" outlineLevel="0" collapsed="false">
      <c r="A113" s="1" t="s">
        <v>319</v>
      </c>
      <c r="B113" s="1" t="s">
        <v>56</v>
      </c>
      <c r="C113" s="1" t="s">
        <v>239</v>
      </c>
      <c r="D113" s="1" t="s">
        <v>85</v>
      </c>
      <c r="E113" s="1" t="s">
        <v>80</v>
      </c>
      <c r="F113" s="1" t="s">
        <v>183</v>
      </c>
      <c r="G113" s="1" t="s">
        <v>121</v>
      </c>
      <c r="H113" s="21" t="n">
        <v>14633</v>
      </c>
      <c r="I113" s="21" t="n">
        <v>9862</v>
      </c>
      <c r="J113" s="21" t="n">
        <v>1519</v>
      </c>
      <c r="K113" s="21" t="n">
        <v>246</v>
      </c>
      <c r="L113" s="21" t="n">
        <v>27</v>
      </c>
      <c r="M113" s="21" t="n">
        <v>73</v>
      </c>
      <c r="N113" s="21" t="n">
        <v>20</v>
      </c>
      <c r="O113" s="21" t="n">
        <v>563</v>
      </c>
      <c r="P113" s="22" t="n">
        <v>18.91</v>
      </c>
      <c r="Q113" s="21" t="n">
        <v>75</v>
      </c>
      <c r="R113" s="22" t="n">
        <v>0.45</v>
      </c>
      <c r="S113" s="23" t="n">
        <v>9.4</v>
      </c>
      <c r="T113" s="1" t="s">
        <v>53</v>
      </c>
      <c r="U113" s="1" t="s">
        <v>98</v>
      </c>
      <c r="V113" s="21" t="n">
        <f aca="false">J113+K113+L113+M113</f>
        <v>1865</v>
      </c>
      <c r="W113" s="22" t="n">
        <f aca="false">ROUND(O113/I113*100,2)</f>
        <v>5.71</v>
      </c>
      <c r="X113" s="1" t="str">
        <f aca="false">IF(R113&gt;0.6,"Positive",IF(R113&lt;0.35,"Negative","Neutral"))</f>
        <v>Neutral</v>
      </c>
      <c r="Y113" s="24" t="n">
        <f aca="false">P113+(ROW()/10000000)</f>
        <v>18.9100113</v>
      </c>
    </row>
    <row r="114" customFormat="false" ht="15" hidden="false" customHeight="true" outlineLevel="0" collapsed="false">
      <c r="A114" s="1" t="s">
        <v>320</v>
      </c>
      <c r="B114" s="1" t="s">
        <v>72</v>
      </c>
      <c r="C114" s="1" t="s">
        <v>321</v>
      </c>
      <c r="D114" s="1" t="s">
        <v>103</v>
      </c>
      <c r="E114" s="1" t="s">
        <v>133</v>
      </c>
      <c r="F114" s="1" t="s">
        <v>160</v>
      </c>
      <c r="G114" s="1" t="s">
        <v>121</v>
      </c>
      <c r="H114" s="21" t="n">
        <v>86998</v>
      </c>
      <c r="I114" s="21" t="n">
        <v>62833</v>
      </c>
      <c r="J114" s="21" t="n">
        <v>8817</v>
      </c>
      <c r="K114" s="21" t="n">
        <v>157</v>
      </c>
      <c r="L114" s="21" t="n">
        <v>360</v>
      </c>
      <c r="M114" s="21" t="n">
        <v>858</v>
      </c>
      <c r="N114" s="21" t="n">
        <v>7237</v>
      </c>
      <c r="O114" s="21" t="n">
        <v>3430</v>
      </c>
      <c r="P114" s="22" t="n">
        <v>16.22</v>
      </c>
      <c r="Q114" s="21" t="n">
        <v>85</v>
      </c>
      <c r="R114" s="22" t="n">
        <v>0.89</v>
      </c>
      <c r="S114" s="23" t="n">
        <v>3.7</v>
      </c>
      <c r="T114" s="1" t="s">
        <v>152</v>
      </c>
      <c r="U114" s="1" t="s">
        <v>98</v>
      </c>
      <c r="V114" s="21" t="n">
        <f aca="false">J114+K114+L114+M114</f>
        <v>10192</v>
      </c>
      <c r="W114" s="22" t="n">
        <f aca="false">ROUND(O114/I114*100,2)</f>
        <v>5.46</v>
      </c>
      <c r="X114" s="1" t="str">
        <f aca="false">IF(R114&gt;0.6,"Positive",IF(R114&lt;0.35,"Negative","Neutral"))</f>
        <v>Positive</v>
      </c>
      <c r="Y114" s="24" t="n">
        <f aca="false">P114+(ROW()/10000000)</f>
        <v>16.2200114</v>
      </c>
    </row>
    <row r="115" customFormat="false" ht="15" hidden="false" customHeight="true" outlineLevel="0" collapsed="false">
      <c r="A115" s="1" t="s">
        <v>322</v>
      </c>
      <c r="B115" s="1" t="s">
        <v>47</v>
      </c>
      <c r="C115" s="1" t="s">
        <v>323</v>
      </c>
      <c r="D115" s="1" t="s">
        <v>49</v>
      </c>
      <c r="E115" s="1" t="s">
        <v>50</v>
      </c>
      <c r="F115" s="1" t="s">
        <v>151</v>
      </c>
      <c r="G115" s="1" t="s">
        <v>60</v>
      </c>
      <c r="H115" s="21" t="n">
        <v>80507</v>
      </c>
      <c r="I115" s="21" t="n">
        <v>46870</v>
      </c>
      <c r="J115" s="21" t="n">
        <v>5539</v>
      </c>
      <c r="K115" s="21" t="n">
        <v>587</v>
      </c>
      <c r="L115" s="21" t="n">
        <v>467</v>
      </c>
      <c r="M115" s="21" t="n">
        <v>1076</v>
      </c>
      <c r="N115" s="21" t="n">
        <v>4056</v>
      </c>
      <c r="O115" s="21" t="n">
        <v>549</v>
      </c>
      <c r="P115" s="22" t="n">
        <v>16.36</v>
      </c>
      <c r="Q115" s="21" t="n">
        <v>253</v>
      </c>
      <c r="R115" s="22" t="n">
        <v>0.5</v>
      </c>
      <c r="S115" s="23" t="n">
        <v>4.7</v>
      </c>
      <c r="T115" s="1" t="s">
        <v>152</v>
      </c>
      <c r="U115" s="1" t="s">
        <v>113</v>
      </c>
      <c r="V115" s="21" t="n">
        <f aca="false">J115+K115+L115+M115</f>
        <v>7669</v>
      </c>
      <c r="W115" s="22" t="n">
        <f aca="false">ROUND(O115/I115*100,2)</f>
        <v>1.17</v>
      </c>
      <c r="X115" s="1" t="str">
        <f aca="false">IF(R115&gt;0.6,"Positive",IF(R115&lt;0.35,"Negative","Neutral"))</f>
        <v>Neutral</v>
      </c>
      <c r="Y115" s="24" t="n">
        <f aca="false">P115+(ROW()/10000000)</f>
        <v>16.3600115</v>
      </c>
    </row>
    <row r="116" customFormat="false" ht="15" hidden="false" customHeight="true" outlineLevel="0" collapsed="false">
      <c r="A116" s="1" t="s">
        <v>324</v>
      </c>
      <c r="B116" s="1" t="s">
        <v>72</v>
      </c>
      <c r="C116" s="1" t="s">
        <v>325</v>
      </c>
      <c r="D116" s="1" t="s">
        <v>85</v>
      </c>
      <c r="E116" s="1" t="s">
        <v>163</v>
      </c>
      <c r="F116" s="1" t="s">
        <v>151</v>
      </c>
      <c r="G116" s="1" t="s">
        <v>81</v>
      </c>
      <c r="H116" s="21" t="n">
        <v>45685</v>
      </c>
      <c r="I116" s="21" t="n">
        <v>35964</v>
      </c>
      <c r="J116" s="21" t="n">
        <v>4701</v>
      </c>
      <c r="K116" s="21" t="n">
        <v>400</v>
      </c>
      <c r="L116" s="21" t="n">
        <v>181</v>
      </c>
      <c r="M116" s="21" t="n">
        <v>628</v>
      </c>
      <c r="N116" s="21" t="n">
        <v>3331</v>
      </c>
      <c r="O116" s="21" t="n">
        <v>1751</v>
      </c>
      <c r="P116" s="22" t="n">
        <v>16.43</v>
      </c>
      <c r="Q116" s="21" t="n">
        <v>258</v>
      </c>
      <c r="R116" s="22" t="n">
        <v>0.38</v>
      </c>
      <c r="S116" s="23" t="n">
        <v>6</v>
      </c>
      <c r="T116" s="1" t="s">
        <v>152</v>
      </c>
      <c r="U116" s="1" t="s">
        <v>113</v>
      </c>
      <c r="V116" s="21" t="n">
        <f aca="false">J116+K116+L116+M116</f>
        <v>5910</v>
      </c>
      <c r="W116" s="22" t="n">
        <f aca="false">ROUND(O116/I116*100,2)</f>
        <v>4.87</v>
      </c>
      <c r="X116" s="1" t="str">
        <f aca="false">IF(R116&gt;0.6,"Positive",IF(R116&lt;0.35,"Negative","Neutral"))</f>
        <v>Neutral</v>
      </c>
      <c r="Y116" s="24" t="n">
        <f aca="false">P116+(ROW()/10000000)</f>
        <v>16.4300116</v>
      </c>
    </row>
    <row r="117" customFormat="false" ht="15" hidden="false" customHeight="true" outlineLevel="0" collapsed="false">
      <c r="A117" s="1" t="s">
        <v>326</v>
      </c>
      <c r="B117" s="1" t="s">
        <v>72</v>
      </c>
      <c r="C117" s="1" t="s">
        <v>327</v>
      </c>
      <c r="D117" s="1" t="s">
        <v>111</v>
      </c>
      <c r="E117" s="1" t="s">
        <v>133</v>
      </c>
      <c r="F117" s="1" t="s">
        <v>112</v>
      </c>
      <c r="G117" s="1" t="s">
        <v>52</v>
      </c>
      <c r="H117" s="21" t="n">
        <v>51775</v>
      </c>
      <c r="I117" s="21" t="n">
        <v>32134</v>
      </c>
      <c r="J117" s="21" t="n">
        <v>2237</v>
      </c>
      <c r="K117" s="21" t="n">
        <v>342</v>
      </c>
      <c r="L117" s="21" t="n">
        <v>156</v>
      </c>
      <c r="M117" s="21" t="n">
        <v>301</v>
      </c>
      <c r="N117" s="21" t="n">
        <v>2970</v>
      </c>
      <c r="O117" s="21" t="n">
        <v>1173</v>
      </c>
      <c r="P117" s="22" t="n">
        <v>9.45</v>
      </c>
      <c r="Q117" s="21" t="n">
        <v>0</v>
      </c>
      <c r="R117" s="22" t="n">
        <v>0.32</v>
      </c>
      <c r="S117" s="23" t="n">
        <v>5.8</v>
      </c>
      <c r="T117" s="1" t="s">
        <v>70</v>
      </c>
      <c r="U117" s="1" t="s">
        <v>113</v>
      </c>
      <c r="V117" s="21" t="n">
        <f aca="false">J117+K117+L117+M117</f>
        <v>3036</v>
      </c>
      <c r="W117" s="22" t="n">
        <f aca="false">ROUND(O117/I117*100,2)</f>
        <v>3.65</v>
      </c>
      <c r="X117" s="1" t="str">
        <f aca="false">IF(R117&gt;0.6,"Positive",IF(R117&lt;0.35,"Negative","Neutral"))</f>
        <v>Negative</v>
      </c>
      <c r="Y117" s="24" t="n">
        <f aca="false">P117+(ROW()/10000000)</f>
        <v>9.4500117</v>
      </c>
    </row>
    <row r="118" customFormat="false" ht="15" hidden="false" customHeight="true" outlineLevel="0" collapsed="false">
      <c r="A118" s="1" t="s">
        <v>328</v>
      </c>
      <c r="B118" s="1" t="s">
        <v>72</v>
      </c>
      <c r="C118" s="1" t="s">
        <v>237</v>
      </c>
      <c r="D118" s="1" t="s">
        <v>111</v>
      </c>
      <c r="E118" s="1" t="s">
        <v>106</v>
      </c>
      <c r="F118" s="1" t="s">
        <v>86</v>
      </c>
      <c r="G118" s="1" t="s">
        <v>121</v>
      </c>
      <c r="H118" s="21" t="n">
        <v>67366</v>
      </c>
      <c r="I118" s="21" t="n">
        <v>55707</v>
      </c>
      <c r="J118" s="21" t="n">
        <v>5145</v>
      </c>
      <c r="K118" s="21" t="n">
        <v>245</v>
      </c>
      <c r="L118" s="21" t="n">
        <v>656</v>
      </c>
      <c r="M118" s="21" t="n">
        <v>607</v>
      </c>
      <c r="N118" s="21" t="n">
        <v>3020</v>
      </c>
      <c r="O118" s="21" t="n">
        <v>2517</v>
      </c>
      <c r="P118" s="22" t="n">
        <v>11.94</v>
      </c>
      <c r="Q118" s="21" t="n">
        <v>108</v>
      </c>
      <c r="R118" s="22" t="n">
        <v>0.29</v>
      </c>
      <c r="S118" s="23" t="n">
        <v>4.3</v>
      </c>
      <c r="T118" s="1" t="s">
        <v>122</v>
      </c>
      <c r="U118" s="1" t="s">
        <v>54</v>
      </c>
      <c r="V118" s="21" t="n">
        <f aca="false">J118+K118+L118+M118</f>
        <v>6653</v>
      </c>
      <c r="W118" s="22" t="n">
        <f aca="false">ROUND(O118/I118*100,2)</f>
        <v>4.52</v>
      </c>
      <c r="X118" s="1" t="str">
        <f aca="false">IF(R118&gt;0.6,"Positive",IF(R118&lt;0.35,"Negative","Neutral"))</f>
        <v>Negative</v>
      </c>
      <c r="Y118" s="24" t="n">
        <f aca="false">P118+(ROW()/10000000)</f>
        <v>11.9400118</v>
      </c>
    </row>
    <row r="119" customFormat="false" ht="15" hidden="false" customHeight="true" outlineLevel="0" collapsed="false">
      <c r="A119" s="1" t="s">
        <v>329</v>
      </c>
      <c r="B119" s="1" t="s">
        <v>64</v>
      </c>
      <c r="C119" s="1" t="s">
        <v>330</v>
      </c>
      <c r="D119" s="1" t="s">
        <v>66</v>
      </c>
      <c r="E119" s="1" t="s">
        <v>80</v>
      </c>
      <c r="F119" s="1" t="s">
        <v>181</v>
      </c>
      <c r="G119" s="1" t="s">
        <v>69</v>
      </c>
      <c r="H119" s="21" t="n">
        <v>90673</v>
      </c>
      <c r="I119" s="21" t="n">
        <v>70400</v>
      </c>
      <c r="J119" s="21" t="n">
        <v>1391</v>
      </c>
      <c r="K119" s="21" t="n">
        <v>274</v>
      </c>
      <c r="L119" s="21" t="n">
        <v>116</v>
      </c>
      <c r="M119" s="21" t="n">
        <v>273</v>
      </c>
      <c r="N119" s="21" t="n">
        <v>5937</v>
      </c>
      <c r="O119" s="21" t="n">
        <v>639</v>
      </c>
      <c r="P119" s="22" t="n">
        <v>2.92</v>
      </c>
      <c r="Q119" s="21" t="n">
        <v>283</v>
      </c>
      <c r="R119" s="22" t="n">
        <v>0.2</v>
      </c>
      <c r="S119" s="23" t="n">
        <v>8.7</v>
      </c>
      <c r="T119" s="1" t="s">
        <v>152</v>
      </c>
      <c r="U119" s="1" t="s">
        <v>82</v>
      </c>
      <c r="V119" s="21" t="n">
        <f aca="false">J119+K119+L119+M119</f>
        <v>2054</v>
      </c>
      <c r="W119" s="22" t="n">
        <f aca="false">ROUND(O119/I119*100,2)</f>
        <v>0.91</v>
      </c>
      <c r="X119" s="1" t="str">
        <f aca="false">IF(R119&gt;0.6,"Positive",IF(R119&lt;0.35,"Negative","Neutral"))</f>
        <v>Negative</v>
      </c>
      <c r="Y119" s="24" t="n">
        <f aca="false">P119+(ROW()/10000000)</f>
        <v>2.9200119</v>
      </c>
    </row>
    <row r="120" customFormat="false" ht="15" hidden="false" customHeight="true" outlineLevel="0" collapsed="false">
      <c r="A120" s="1" t="s">
        <v>331</v>
      </c>
      <c r="B120" s="1" t="s">
        <v>72</v>
      </c>
      <c r="C120" s="1" t="s">
        <v>223</v>
      </c>
      <c r="D120" s="1" t="s">
        <v>66</v>
      </c>
      <c r="E120" s="1" t="s">
        <v>91</v>
      </c>
      <c r="F120" s="1" t="s">
        <v>75</v>
      </c>
      <c r="G120" s="1" t="s">
        <v>52</v>
      </c>
      <c r="H120" s="21" t="n">
        <v>90667</v>
      </c>
      <c r="I120" s="21" t="n">
        <v>55453</v>
      </c>
      <c r="J120" s="21" t="n">
        <v>9604</v>
      </c>
      <c r="K120" s="21" t="n">
        <v>2007</v>
      </c>
      <c r="L120" s="21" t="n">
        <v>188</v>
      </c>
      <c r="M120" s="21" t="n">
        <v>1843</v>
      </c>
      <c r="N120" s="21" t="n">
        <v>4190</v>
      </c>
      <c r="O120" s="21" t="n">
        <v>1824</v>
      </c>
      <c r="P120" s="22" t="n">
        <v>24.6</v>
      </c>
      <c r="Q120" s="21" t="n">
        <v>23</v>
      </c>
      <c r="R120" s="22" t="n">
        <v>0.49</v>
      </c>
      <c r="S120" s="23" t="n">
        <v>6.7</v>
      </c>
      <c r="T120" s="1" t="s">
        <v>108</v>
      </c>
      <c r="U120" s="1" t="s">
        <v>98</v>
      </c>
      <c r="V120" s="21" t="n">
        <f aca="false">J120+K120+L120+M120</f>
        <v>13642</v>
      </c>
      <c r="W120" s="22" t="n">
        <f aca="false">ROUND(O120/I120*100,2)</f>
        <v>3.29</v>
      </c>
      <c r="X120" s="1" t="str">
        <f aca="false">IF(R120&gt;0.6,"Positive",IF(R120&lt;0.35,"Negative","Neutral"))</f>
        <v>Neutral</v>
      </c>
      <c r="Y120" s="24" t="n">
        <f aca="false">P120+(ROW()/10000000)</f>
        <v>24.600012</v>
      </c>
    </row>
    <row r="121" customFormat="false" ht="15" hidden="false" customHeight="true" outlineLevel="0" collapsed="false">
      <c r="A121" s="1" t="s">
        <v>332</v>
      </c>
      <c r="B121" s="1" t="s">
        <v>47</v>
      </c>
      <c r="C121" s="1" t="s">
        <v>333</v>
      </c>
      <c r="D121" s="1" t="s">
        <v>58</v>
      </c>
      <c r="E121" s="1" t="s">
        <v>50</v>
      </c>
      <c r="F121" s="1" t="s">
        <v>183</v>
      </c>
      <c r="G121" s="1" t="s">
        <v>52</v>
      </c>
      <c r="H121" s="21" t="n">
        <v>30060</v>
      </c>
      <c r="I121" s="21" t="n">
        <v>21748</v>
      </c>
      <c r="J121" s="21" t="n">
        <v>235</v>
      </c>
      <c r="K121" s="21" t="n">
        <v>32</v>
      </c>
      <c r="L121" s="21" t="n">
        <v>24</v>
      </c>
      <c r="M121" s="21" t="n">
        <v>47</v>
      </c>
      <c r="N121" s="21" t="n">
        <v>271</v>
      </c>
      <c r="O121" s="21" t="n">
        <v>1108</v>
      </c>
      <c r="P121" s="22" t="n">
        <v>1.55</v>
      </c>
      <c r="Q121" s="21" t="n">
        <v>25</v>
      </c>
      <c r="R121" s="22" t="n">
        <v>0.89</v>
      </c>
      <c r="S121" s="23" t="n">
        <v>3.9</v>
      </c>
      <c r="T121" s="1" t="s">
        <v>61</v>
      </c>
      <c r="U121" s="1" t="s">
        <v>54</v>
      </c>
      <c r="V121" s="21" t="n">
        <f aca="false">J121+K121+L121+M121</f>
        <v>338</v>
      </c>
      <c r="W121" s="22" t="n">
        <f aca="false">ROUND(O121/I121*100,2)</f>
        <v>5.09</v>
      </c>
      <c r="X121" s="1" t="str">
        <f aca="false">IF(R121&gt;0.6,"Positive",IF(R121&lt;0.35,"Negative","Neutral"))</f>
        <v>Positive</v>
      </c>
      <c r="Y121" s="24" t="n">
        <f aca="false">P121+(ROW()/10000000)</f>
        <v>1.5500121</v>
      </c>
    </row>
  </sheetData>
  <conditionalFormatting sqref="X2:X121">
    <cfRule type="cellIs" priority="2" operator="equal" aboveAverage="0" equalAverage="0" bottom="0" percent="0" rank="0" text="" dxfId="7">
      <formula>"Positive"</formula>
    </cfRule>
    <cfRule type="cellIs" priority="3" operator="equal" aboveAverage="0" equalAverage="0" bottom="0" percent="0" rank="0" text="" dxfId="8">
      <formula>"Negative"</formula>
    </cfRule>
    <cfRule type="cellIs" priority="4" operator="equal" aboveAverage="0" equalAverage="0" bottom="0" percent="0" rank="0" text="" dxfId="9">
      <formula>"Neutral"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4"/>
  </cols>
  <sheetData>
    <row r="1" customFormat="false" ht="19.5" hidden="false" customHeight="true" outlineLevel="0" collapsed="false">
      <c r="A1" s="25" t="s">
        <v>0</v>
      </c>
      <c r="B1" s="25"/>
      <c r="C1" s="25"/>
      <c r="D1" s="25"/>
      <c r="E1" s="25"/>
      <c r="F1" s="25"/>
    </row>
    <row r="2" customFormat="false" ht="15" hidden="false" customHeight="true" outlineLevel="0" collapsed="false">
      <c r="A2" s="26" t="s">
        <v>334</v>
      </c>
      <c r="B2" s="26"/>
      <c r="C2" s="26"/>
      <c r="D2" s="26"/>
      <c r="E2" s="26"/>
      <c r="F2" s="26"/>
    </row>
    <row r="4" customFormat="false" ht="15" hidden="false" customHeight="true" outlineLevel="0" collapsed="false">
      <c r="A4" s="27" t="s">
        <v>335</v>
      </c>
      <c r="B4" s="27" t="s">
        <v>336</v>
      </c>
    </row>
    <row r="5" customFormat="false" ht="15" hidden="false" customHeight="true" outlineLevel="0" collapsed="false">
      <c r="A5" s="28" t="s">
        <v>337</v>
      </c>
      <c r="B5" s="29" t="n">
        <f aca="false">COUNTA(EngagementData!$A$2:$A$121)</f>
        <v>120</v>
      </c>
    </row>
    <row r="6" customFormat="false" ht="15" hidden="false" customHeight="true" outlineLevel="0" collapsed="false">
      <c r="A6" s="28" t="s">
        <v>3</v>
      </c>
      <c r="B6" s="30" t="n">
        <f aca="false">SUM(EngagementData!$H$2:$H$121)</f>
        <v>6212420</v>
      </c>
    </row>
    <row r="7" customFormat="false" ht="15" hidden="false" customHeight="true" outlineLevel="0" collapsed="false">
      <c r="A7" s="28" t="s">
        <v>2</v>
      </c>
      <c r="B7" s="30" t="n">
        <f aca="false">SUM(EngagementData!$I$2:$I$121)</f>
        <v>4366278</v>
      </c>
    </row>
    <row r="8" customFormat="false" ht="15" hidden="false" customHeight="true" outlineLevel="0" collapsed="false">
      <c r="A8" s="28" t="s">
        <v>42</v>
      </c>
      <c r="B8" s="30" t="n">
        <f aca="false">SUM(EngagementData!$J$2:$J$121)+SUM(EngagementData!$K$2:$K$121)+SUM(EngagementData!$L$2:$L$121)+SUM(EngagementData!$M$2:$M$121)</f>
        <v>494160</v>
      </c>
    </row>
    <row r="9" customFormat="false" ht="15" hidden="false" customHeight="true" outlineLevel="0" collapsed="false">
      <c r="A9" s="28" t="s">
        <v>4</v>
      </c>
      <c r="B9" s="31" t="n">
        <f aca="false">ROUND(AVERAGE(EngagementData!$P$2:$P$121),2)</f>
        <v>11.31</v>
      </c>
    </row>
    <row r="10" customFormat="false" ht="15" hidden="false" customHeight="true" outlineLevel="0" collapsed="false">
      <c r="A10" s="28" t="s">
        <v>338</v>
      </c>
      <c r="B10" s="31" t="n">
        <f aca="false">ROUND(AVERAGE(EngagementData!$W$2:$W$121),2)</f>
        <v>2.87</v>
      </c>
    </row>
    <row r="11" customFormat="false" ht="15" hidden="false" customHeight="true" outlineLevel="0" collapsed="false">
      <c r="A11" s="28" t="s">
        <v>339</v>
      </c>
      <c r="B11" s="30" t="n">
        <f aca="false">SUM(EngagementData!$Q$2:$Q$121)</f>
        <v>19931</v>
      </c>
    </row>
    <row r="12" customFormat="false" ht="15" hidden="false" customHeight="true" outlineLevel="0" collapsed="false">
      <c r="A12" s="28" t="s">
        <v>340</v>
      </c>
      <c r="B12" s="32" t="n">
        <f aca="false">ROUND(AVERAGE(EngagementData!$R$2:$R$121),2)</f>
        <v>0.52</v>
      </c>
    </row>
    <row r="13" customFormat="false" ht="15" hidden="false" customHeight="true" outlineLevel="0" collapsed="false">
      <c r="A13" s="28" t="s">
        <v>6</v>
      </c>
      <c r="B13" s="33" t="n">
        <f aca="false">ROUND(AVERAGE(EngagementData!$S$2:$S$121),2)</f>
        <v>6.56</v>
      </c>
    </row>
    <row r="14" customFormat="false" ht="15" hidden="false" customHeight="true" outlineLevel="0" collapsed="false">
      <c r="A14" s="28" t="s">
        <v>341</v>
      </c>
      <c r="B14" s="30" t="n">
        <f aca="false">SUM(EngagementData!$J$2:$J$121)</f>
        <v>382914</v>
      </c>
    </row>
    <row r="15" customFormat="false" ht="15" hidden="false" customHeight="true" outlineLevel="0" collapsed="false">
      <c r="A15" s="28" t="s">
        <v>342</v>
      </c>
      <c r="B15" s="30" t="n">
        <f aca="false">SUM(EngagementData!$K$2:$K$121)</f>
        <v>46401</v>
      </c>
    </row>
    <row r="16" customFormat="false" ht="15" hidden="false" customHeight="true" outlineLevel="0" collapsed="false">
      <c r="A16" s="28" t="s">
        <v>343</v>
      </c>
      <c r="B16" s="30" t="n">
        <f aca="false">SUM(EngagementData!$L$2:$L$121)</f>
        <v>26896</v>
      </c>
    </row>
    <row r="17" customFormat="false" ht="15" hidden="false" customHeight="true" outlineLevel="0" collapsed="false">
      <c r="A17" s="28" t="s">
        <v>344</v>
      </c>
      <c r="B17" s="30" t="n">
        <f aca="false">SUM(EngagementData!$M$2:$M$121)</f>
        <v>37949</v>
      </c>
    </row>
    <row r="18" customFormat="false" ht="15" hidden="false" customHeight="true" outlineLevel="0" collapsed="false">
      <c r="A18" s="28" t="s">
        <v>345</v>
      </c>
      <c r="B18" s="30" t="n">
        <f aca="false">SUM(EngagementData!$N$2:$N$121)</f>
        <v>284172</v>
      </c>
    </row>
    <row r="19" customFormat="false" ht="15" hidden="false" customHeight="true" outlineLevel="0" collapsed="false">
      <c r="A19" s="28" t="s">
        <v>346</v>
      </c>
      <c r="B19" s="30" t="n">
        <f aca="false">SUM(EngagementData!$O$2:$O$121)</f>
        <v>128436</v>
      </c>
    </row>
    <row r="21" customFormat="false" ht="15" hidden="false" customHeight="true" outlineLevel="0" collapsed="false">
      <c r="A21" s="34" t="s">
        <v>347</v>
      </c>
    </row>
    <row r="22" customFormat="false" ht="15" hidden="false" customHeight="true" outlineLevel="0" collapsed="false">
      <c r="A22" s="27" t="s">
        <v>348</v>
      </c>
      <c r="B22" s="27" t="s">
        <v>349</v>
      </c>
      <c r="C22" s="27" t="s">
        <v>350</v>
      </c>
    </row>
    <row r="23" customFormat="false" ht="15" hidden="false" customHeight="true" outlineLevel="0" collapsed="false">
      <c r="A23" s="35" t="s">
        <v>351</v>
      </c>
      <c r="B23" s="35" t="n">
        <f aca="false">COUNTIF(EngagementData!$X$2:$X$121,"Positive")</f>
        <v>47</v>
      </c>
      <c r="C23" s="36" t="n">
        <f aca="false">B23/SUM($B$23:$B$25)</f>
        <v>0.391666666666667</v>
      </c>
    </row>
    <row r="24" customFormat="false" ht="15" hidden="false" customHeight="true" outlineLevel="0" collapsed="false">
      <c r="A24" s="35" t="s">
        <v>352</v>
      </c>
      <c r="B24" s="35" t="n">
        <f aca="false">COUNTIF(EngagementData!$X$2:$X$121,"Neutral")</f>
        <v>36</v>
      </c>
      <c r="C24" s="36" t="n">
        <f aca="false">B24/SUM($B$23:$B$25)</f>
        <v>0.3</v>
      </c>
    </row>
    <row r="25" customFormat="false" ht="15" hidden="false" customHeight="true" outlineLevel="0" collapsed="false">
      <c r="A25" s="35" t="s">
        <v>353</v>
      </c>
      <c r="B25" s="35" t="n">
        <f aca="false">COUNTIF(EngagementData!$X$2:$X$121,"Negative")</f>
        <v>37</v>
      </c>
      <c r="C25" s="36" t="n">
        <f aca="false">B25/SUM($B$23:$B$25)</f>
        <v>0.308333333333333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45"/>
  </cols>
  <sheetData>
    <row r="1" customFormat="false" ht="19.5" hidden="false" customHeight="true" outlineLevel="0" collapsed="false">
      <c r="A1" s="25" t="s">
        <v>354</v>
      </c>
      <c r="B1" s="25"/>
      <c r="C1" s="25"/>
      <c r="D1" s="25"/>
      <c r="E1" s="25"/>
      <c r="F1" s="25"/>
      <c r="G1" s="25"/>
    </row>
    <row r="2" customFormat="false" ht="15" hidden="false" customHeight="true" outlineLevel="0" collapsed="false">
      <c r="A2" s="26" t="s">
        <v>355</v>
      </c>
      <c r="B2" s="26"/>
      <c r="C2" s="26"/>
      <c r="D2" s="26"/>
      <c r="E2" s="26"/>
      <c r="F2" s="26"/>
      <c r="G2" s="26"/>
    </row>
    <row r="4" customFormat="false" ht="15" hidden="false" customHeight="true" outlineLevel="0" collapsed="false">
      <c r="A4" s="19" t="s">
        <v>14</v>
      </c>
      <c r="B4" s="19" t="s">
        <v>349</v>
      </c>
      <c r="C4" s="19" t="s">
        <v>3</v>
      </c>
      <c r="D4" s="19" t="s">
        <v>2</v>
      </c>
      <c r="E4" s="19" t="s">
        <v>4</v>
      </c>
      <c r="F4" s="19" t="s">
        <v>340</v>
      </c>
      <c r="G4" s="19" t="s">
        <v>6</v>
      </c>
    </row>
    <row r="5" customFormat="false" ht="15" hidden="false" customHeight="true" outlineLevel="0" collapsed="false">
      <c r="A5" s="35" t="s">
        <v>72</v>
      </c>
      <c r="B5" s="35" t="n">
        <f aca="false">COUNTIF(EngagementData!$B$2:$B$121,"Facebook")</f>
        <v>32</v>
      </c>
      <c r="C5" s="37" t="n">
        <f aca="false">SUMIF(EngagementData!$B$2:$B$121,"Facebook",EngagementData!$H$2:$H$121)</f>
        <v>1658141</v>
      </c>
      <c r="D5" s="37" t="n">
        <f aca="false">SUMIF(EngagementData!$B$2:$B$121,"Facebook",EngagementData!$I$2:$I$121)</f>
        <v>1134200</v>
      </c>
      <c r="E5" s="35" t="n">
        <f aca="false">ROUND(AVERAGEIF(EngagementData!$B$2:$B$121,"Facebook",EngagementData!$P$2:$P$121),2)</f>
        <v>13.32</v>
      </c>
      <c r="F5" s="35" t="n">
        <f aca="false">ROUND(AVERAGEIF(EngagementData!$B$2:$B$121,"Facebook",EngagementData!$R$2:$R$121),2)</f>
        <v>0.54</v>
      </c>
      <c r="G5" s="35" t="n">
        <f aca="false">ROUND(AVERAGEIF(EngagementData!$B$2:$B$121,"Facebook",EngagementData!$S$2:$S$121),2)</f>
        <v>6.53</v>
      </c>
    </row>
    <row r="6" customFormat="false" ht="15" hidden="false" customHeight="true" outlineLevel="0" collapsed="false">
      <c r="A6" s="35" t="s">
        <v>47</v>
      </c>
      <c r="B6" s="35" t="n">
        <f aca="false">COUNTIF(EngagementData!$B$2:$B$121,"Instagram")</f>
        <v>28</v>
      </c>
      <c r="C6" s="37" t="n">
        <f aca="false">SUMIF(EngagementData!$B$2:$B$121,"Instagram",EngagementData!$H$2:$H$121)</f>
        <v>1233096</v>
      </c>
      <c r="D6" s="37" t="n">
        <f aca="false">SUMIF(EngagementData!$B$2:$B$121,"Instagram",EngagementData!$I$2:$I$121)</f>
        <v>871246</v>
      </c>
      <c r="E6" s="35" t="n">
        <f aca="false">ROUND(AVERAGEIF(EngagementData!$B$2:$B$121,"Instagram",EngagementData!$P$2:$P$121),2)</f>
        <v>11.17</v>
      </c>
      <c r="F6" s="35" t="n">
        <f aca="false">ROUND(AVERAGEIF(EngagementData!$B$2:$B$121,"Instagram",EngagementData!$R$2:$R$121),2)</f>
        <v>0.5</v>
      </c>
      <c r="G6" s="35" t="n">
        <f aca="false">ROUND(AVERAGEIF(EngagementData!$B$2:$B$121,"Instagram",EngagementData!$S$2:$S$121),2)</f>
        <v>6.15</v>
      </c>
    </row>
    <row r="7" customFormat="false" ht="15" hidden="false" customHeight="true" outlineLevel="0" collapsed="false">
      <c r="A7" s="35" t="s">
        <v>56</v>
      </c>
      <c r="B7" s="35" t="n">
        <f aca="false">COUNTIF(EngagementData!$B$2:$B$121,"LinkedIn")</f>
        <v>27</v>
      </c>
      <c r="C7" s="37" t="n">
        <f aca="false">SUMIF(EngagementData!$B$2:$B$121,"LinkedIn",EngagementData!$H$2:$H$121)</f>
        <v>1481761</v>
      </c>
      <c r="D7" s="37" t="n">
        <f aca="false">SUMIF(EngagementData!$B$2:$B$121,"LinkedIn",EngagementData!$I$2:$I$121)</f>
        <v>1036982</v>
      </c>
      <c r="E7" s="35" t="n">
        <f aca="false">ROUND(AVERAGEIF(EngagementData!$B$2:$B$121,"LinkedIn",EngagementData!$P$2:$P$121),2)</f>
        <v>11.44</v>
      </c>
      <c r="F7" s="35" t="n">
        <f aca="false">ROUND(AVERAGEIF(EngagementData!$B$2:$B$121,"LinkedIn",EngagementData!$R$2:$R$121),2)</f>
        <v>0.52</v>
      </c>
      <c r="G7" s="35" t="n">
        <f aca="false">ROUND(AVERAGEIF(EngagementData!$B$2:$B$121,"LinkedIn",EngagementData!$S$2:$S$121),2)</f>
        <v>7.06</v>
      </c>
    </row>
    <row r="8" customFormat="false" ht="15" hidden="false" customHeight="true" outlineLevel="0" collapsed="false">
      <c r="A8" s="35" t="s">
        <v>64</v>
      </c>
      <c r="B8" s="35" t="n">
        <f aca="false">COUNTIF(EngagementData!$B$2:$B$121,"Twitter/X")</f>
        <v>33</v>
      </c>
      <c r="C8" s="37" t="n">
        <f aca="false">SUMIF(EngagementData!$B$2:$B$121,"Twitter/X",EngagementData!$H$2:$H$121)</f>
        <v>1839422</v>
      </c>
      <c r="D8" s="37" t="n">
        <f aca="false">SUMIF(EngagementData!$B$2:$B$121,"Twitter/X",EngagementData!$I$2:$I$121)</f>
        <v>1323850</v>
      </c>
      <c r="E8" s="35" t="n">
        <f aca="false">ROUND(AVERAGEIF(EngagementData!$B$2:$B$121,"Twitter/X",EngagementData!$P$2:$P$121),2)</f>
        <v>9.37</v>
      </c>
      <c r="F8" s="35" t="n">
        <f aca="false">ROUND(AVERAGEIF(EngagementData!$B$2:$B$121,"Twitter/X",EngagementData!$R$2:$R$121),2)</f>
        <v>0.51</v>
      </c>
      <c r="G8" s="35" t="n">
        <f aca="false">ROUND(AVERAGEIF(EngagementData!$B$2:$B$121,"Twitter/X",EngagementData!$S$2:$S$121),2)</f>
        <v>6.54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45"/>
  </cols>
  <sheetData>
    <row r="1" customFormat="false" ht="19.5" hidden="false" customHeight="true" outlineLevel="0" collapsed="false">
      <c r="A1" s="25" t="s">
        <v>356</v>
      </c>
      <c r="B1" s="25"/>
      <c r="C1" s="25"/>
      <c r="D1" s="25"/>
      <c r="E1" s="25"/>
      <c r="F1" s="25"/>
      <c r="G1" s="25"/>
    </row>
    <row r="2" customFormat="false" ht="15" hidden="false" customHeight="true" outlineLevel="0" collapsed="false">
      <c r="A2" s="26" t="s">
        <v>357</v>
      </c>
      <c r="B2" s="26"/>
      <c r="C2" s="26"/>
      <c r="D2" s="26"/>
      <c r="E2" s="26"/>
      <c r="F2" s="26"/>
      <c r="G2" s="26"/>
    </row>
    <row r="4" customFormat="false" ht="15" hidden="false" customHeight="true" outlineLevel="0" collapsed="false">
      <c r="A4" s="19" t="s">
        <v>27</v>
      </c>
      <c r="B4" s="19" t="s">
        <v>349</v>
      </c>
      <c r="C4" s="19" t="s">
        <v>4</v>
      </c>
      <c r="D4" s="19" t="s">
        <v>343</v>
      </c>
      <c r="E4" s="19" t="s">
        <v>344</v>
      </c>
      <c r="F4" s="19" t="s">
        <v>340</v>
      </c>
      <c r="G4" s="19" t="s">
        <v>6</v>
      </c>
    </row>
    <row r="5" customFormat="false" ht="15" hidden="false" customHeight="true" outlineLevel="0" collapsed="false">
      <c r="A5" s="35" t="s">
        <v>163</v>
      </c>
      <c r="B5" s="35" t="n">
        <f aca="false">COUNTIF(EngagementData!$E$2:$E$121,"Behind the Scenes")</f>
        <v>9</v>
      </c>
      <c r="C5" s="35" t="n">
        <f aca="false">ROUND(AVERAGEIF(EngagementData!$E$2:$E$121,"Behind the Scenes",EngagementData!$P$2:$P$121),2)</f>
        <v>9.43</v>
      </c>
      <c r="D5" s="37" t="n">
        <f aca="false">SUMIF(EngagementData!$E$2:$E$121,"Behind the Scenes",EngagementData!$L$2:$L$121)</f>
        <v>929</v>
      </c>
      <c r="E5" s="37" t="n">
        <f aca="false">SUMIF(EngagementData!$E$2:$E$121,"Behind the Scenes",EngagementData!$M$2:$M$121)</f>
        <v>1514</v>
      </c>
      <c r="F5" s="35" t="n">
        <f aca="false">ROUND(AVERAGEIF(EngagementData!$E$2:$E$121,"Behind the Scenes",EngagementData!$R$2:$R$121),2)</f>
        <v>0.48</v>
      </c>
      <c r="G5" s="35" t="n">
        <f aca="false">ROUND(AVERAGEIF(EngagementData!$E$2:$E$121,"Behind the Scenes",EngagementData!$S$2:$S$121),2)</f>
        <v>5.69</v>
      </c>
    </row>
    <row r="6" customFormat="false" ht="15" hidden="false" customHeight="true" outlineLevel="0" collapsed="false">
      <c r="A6" s="35" t="s">
        <v>133</v>
      </c>
      <c r="B6" s="35" t="n">
        <f aca="false">COUNTIF(EngagementData!$E$2:$E$121,"Educational")</f>
        <v>18</v>
      </c>
      <c r="C6" s="35" t="n">
        <f aca="false">ROUND(AVERAGEIF(EngagementData!$E$2:$E$121,"Educational",EngagementData!$P$2:$P$121),2)</f>
        <v>11.11</v>
      </c>
      <c r="D6" s="37" t="n">
        <f aca="false">SUMIF(EngagementData!$E$2:$E$121,"Educational",EngagementData!$L$2:$L$121)</f>
        <v>4409</v>
      </c>
      <c r="E6" s="37" t="n">
        <f aca="false">SUMIF(EngagementData!$E$2:$E$121,"Educational",EngagementData!$M$2:$M$121)</f>
        <v>6146</v>
      </c>
      <c r="F6" s="35" t="n">
        <f aca="false">ROUND(AVERAGEIF(EngagementData!$E$2:$E$121,"Educational",EngagementData!$R$2:$R$121),2)</f>
        <v>0.58</v>
      </c>
      <c r="G6" s="35" t="n">
        <f aca="false">ROUND(AVERAGEIF(EngagementData!$E$2:$E$121,"Educational",EngagementData!$S$2:$S$121),2)</f>
        <v>6.85</v>
      </c>
    </row>
    <row r="7" customFormat="false" ht="15" hidden="false" customHeight="true" outlineLevel="0" collapsed="false">
      <c r="A7" s="35" t="s">
        <v>91</v>
      </c>
      <c r="B7" s="35" t="n">
        <f aca="false">COUNTIF(EngagementData!$E$2:$E$121,"Event Highlight")</f>
        <v>16</v>
      </c>
      <c r="C7" s="35" t="n">
        <f aca="false">ROUND(AVERAGEIF(EngagementData!$E$2:$E$121,"Event Highlight",EngagementData!$P$2:$P$121),2)</f>
        <v>10.98</v>
      </c>
      <c r="D7" s="37" t="n">
        <f aca="false">SUMIF(EngagementData!$E$2:$E$121,"Event Highlight",EngagementData!$L$2:$L$121)</f>
        <v>3479</v>
      </c>
      <c r="E7" s="37" t="n">
        <f aca="false">SUMIF(EngagementData!$E$2:$E$121,"Event Highlight",EngagementData!$M$2:$M$121)</f>
        <v>5348</v>
      </c>
      <c r="F7" s="35" t="n">
        <f aca="false">ROUND(AVERAGEIF(EngagementData!$E$2:$E$121,"Event Highlight",EngagementData!$R$2:$R$121),2)</f>
        <v>0.48</v>
      </c>
      <c r="G7" s="35" t="n">
        <f aca="false">ROUND(AVERAGEIF(EngagementData!$E$2:$E$121,"Event Highlight",EngagementData!$S$2:$S$121),2)</f>
        <v>6.09</v>
      </c>
    </row>
    <row r="8" customFormat="false" ht="15" hidden="false" customHeight="true" outlineLevel="0" collapsed="false">
      <c r="A8" s="35" t="s">
        <v>106</v>
      </c>
      <c r="B8" s="35" t="n">
        <f aca="false">COUNTIF(EngagementData!$E$2:$E$121,"Industry News")</f>
        <v>17</v>
      </c>
      <c r="C8" s="35" t="n">
        <f aca="false">ROUND(AVERAGEIF(EngagementData!$E$2:$E$121,"Industry News",EngagementData!$P$2:$P$121),2)</f>
        <v>11.82</v>
      </c>
      <c r="D8" s="37" t="n">
        <f aca="false">SUMIF(EngagementData!$E$2:$E$121,"Industry News",EngagementData!$L$2:$L$121)</f>
        <v>3988</v>
      </c>
      <c r="E8" s="37" t="n">
        <f aca="false">SUMIF(EngagementData!$E$2:$E$121,"Industry News",EngagementData!$M$2:$M$121)</f>
        <v>6550</v>
      </c>
      <c r="F8" s="35" t="n">
        <f aca="false">ROUND(AVERAGEIF(EngagementData!$E$2:$E$121,"Industry News",EngagementData!$R$2:$R$121),2)</f>
        <v>0.55</v>
      </c>
      <c r="G8" s="35" t="n">
        <f aca="false">ROUND(AVERAGEIF(EngagementData!$E$2:$E$121,"Industry News",EngagementData!$S$2:$S$121),2)</f>
        <v>6.47</v>
      </c>
    </row>
    <row r="9" customFormat="false" ht="15" hidden="false" customHeight="true" outlineLevel="0" collapsed="false">
      <c r="A9" s="35" t="s">
        <v>50</v>
      </c>
      <c r="B9" s="35" t="n">
        <f aca="false">COUNTIF(EngagementData!$E$2:$E$121,"Motivational")</f>
        <v>17</v>
      </c>
      <c r="C9" s="35" t="n">
        <f aca="false">ROUND(AVERAGEIF(EngagementData!$E$2:$E$121,"Motivational",EngagementData!$P$2:$P$121),2)</f>
        <v>9.14</v>
      </c>
      <c r="D9" s="37" t="n">
        <f aca="false">SUMIF(EngagementData!$E$2:$E$121,"Motivational",EngagementData!$L$2:$L$121)</f>
        <v>3035</v>
      </c>
      <c r="E9" s="37" t="n">
        <f aca="false">SUMIF(EngagementData!$E$2:$E$121,"Motivational",EngagementData!$M$2:$M$121)</f>
        <v>3640</v>
      </c>
      <c r="F9" s="35" t="n">
        <f aca="false">ROUND(AVERAGEIF(EngagementData!$E$2:$E$121,"Motivational",EngagementData!$R$2:$R$121),2)</f>
        <v>0.5</v>
      </c>
      <c r="G9" s="35" t="n">
        <f aca="false">ROUND(AVERAGEIF(EngagementData!$E$2:$E$121,"Motivational",EngagementData!$S$2:$S$121),2)</f>
        <v>6.22</v>
      </c>
    </row>
    <row r="10" customFormat="false" ht="15" hidden="false" customHeight="true" outlineLevel="0" collapsed="false">
      <c r="A10" s="35" t="s">
        <v>74</v>
      </c>
      <c r="B10" s="35" t="n">
        <f aca="false">COUNTIF(EngagementData!$E$2:$E$121,"Product Showcase")</f>
        <v>16</v>
      </c>
      <c r="C10" s="35" t="n">
        <f aca="false">ROUND(AVERAGEIF(EngagementData!$E$2:$E$121,"Product Showcase",EngagementData!$P$2:$P$121),2)</f>
        <v>12.59</v>
      </c>
      <c r="D10" s="37" t="n">
        <f aca="false">SUMIF(EngagementData!$E$2:$E$121,"Product Showcase",EngagementData!$L$2:$L$121)</f>
        <v>4863</v>
      </c>
      <c r="E10" s="37" t="n">
        <f aca="false">SUMIF(EngagementData!$E$2:$E$121,"Product Showcase",EngagementData!$M$2:$M$121)</f>
        <v>5426</v>
      </c>
      <c r="F10" s="35" t="n">
        <f aca="false">ROUND(AVERAGEIF(EngagementData!$E$2:$E$121,"Product Showcase",EngagementData!$R$2:$R$121),2)</f>
        <v>0.61</v>
      </c>
      <c r="G10" s="35" t="n">
        <f aca="false">ROUND(AVERAGEIF(EngagementData!$E$2:$E$121,"Product Showcase",EngagementData!$S$2:$S$121),2)</f>
        <v>6.03</v>
      </c>
    </row>
    <row r="11" customFormat="false" ht="15" hidden="false" customHeight="true" outlineLevel="0" collapsed="false">
      <c r="A11" s="35" t="s">
        <v>67</v>
      </c>
      <c r="B11" s="35" t="n">
        <f aca="false">COUNTIF(EngagementData!$E$2:$E$121,"Promotional")</f>
        <v>14</v>
      </c>
      <c r="C11" s="35" t="n">
        <f aca="false">ROUND(AVERAGEIF(EngagementData!$E$2:$E$121,"Promotional",EngagementData!$P$2:$P$121),2)</f>
        <v>14.46</v>
      </c>
      <c r="D11" s="37" t="n">
        <f aca="false">SUMIF(EngagementData!$E$2:$E$121,"Promotional",EngagementData!$L$2:$L$121)</f>
        <v>3375</v>
      </c>
      <c r="E11" s="37" t="n">
        <f aca="false">SUMIF(EngagementData!$E$2:$E$121,"Promotional",EngagementData!$M$2:$M$121)</f>
        <v>5700</v>
      </c>
      <c r="F11" s="35" t="n">
        <f aca="false">ROUND(AVERAGEIF(EngagementData!$E$2:$E$121,"Promotional",EngagementData!$R$2:$R$121),2)</f>
        <v>0.49</v>
      </c>
      <c r="G11" s="35" t="n">
        <f aca="false">ROUND(AVERAGEIF(EngagementData!$E$2:$E$121,"Promotional",EngagementData!$S$2:$S$121),2)</f>
        <v>7.43</v>
      </c>
    </row>
    <row r="12" customFormat="false" ht="15" hidden="false" customHeight="true" outlineLevel="0" collapsed="false">
      <c r="A12" s="35" t="s">
        <v>80</v>
      </c>
      <c r="B12" s="35" t="n">
        <f aca="false">COUNTIF(EngagementData!$E$2:$E$121,"User Generated Content")</f>
        <v>13</v>
      </c>
      <c r="C12" s="35" t="n">
        <f aca="false">ROUND(AVERAGEIF(EngagementData!$E$2:$E$121,"User Generated Content",EngagementData!$P$2:$P$121),2)</f>
        <v>10.46</v>
      </c>
      <c r="D12" s="37" t="n">
        <f aca="false">SUMIF(EngagementData!$E$2:$E$121,"User Generated Content",EngagementData!$L$2:$L$121)</f>
        <v>2818</v>
      </c>
      <c r="E12" s="37" t="n">
        <f aca="false">SUMIF(EngagementData!$E$2:$E$121,"User Generated Content",EngagementData!$M$2:$M$121)</f>
        <v>3625</v>
      </c>
      <c r="F12" s="35" t="n">
        <f aca="false">ROUND(AVERAGEIF(EngagementData!$E$2:$E$121,"User Generated Content",EngagementData!$R$2:$R$121),2)</f>
        <v>0.41</v>
      </c>
      <c r="G12" s="35" t="n">
        <f aca="false">ROUND(AVERAGEIF(EngagementData!$E$2:$E$121,"User Generated Content",EngagementData!$S$2:$S$121),2)</f>
        <v>7.62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45"/>
  </cols>
  <sheetData>
    <row r="1" customFormat="false" ht="19.5" hidden="false" customHeight="true" outlineLevel="0" collapsed="false">
      <c r="A1" s="25" t="s">
        <v>358</v>
      </c>
      <c r="B1" s="25"/>
      <c r="C1" s="25"/>
      <c r="D1" s="25"/>
      <c r="E1" s="25"/>
      <c r="F1" s="25"/>
    </row>
    <row r="2" customFormat="false" ht="15" hidden="false" customHeight="true" outlineLevel="0" collapsed="false">
      <c r="A2" s="26" t="s">
        <v>359</v>
      </c>
      <c r="B2" s="26"/>
      <c r="C2" s="26"/>
      <c r="D2" s="26"/>
      <c r="E2" s="26"/>
      <c r="F2" s="26"/>
    </row>
    <row r="4" customFormat="false" ht="15" hidden="false" customHeight="true" outlineLevel="0" collapsed="false">
      <c r="A4" s="19" t="s">
        <v>26</v>
      </c>
      <c r="B4" s="19" t="s">
        <v>349</v>
      </c>
      <c r="C4" s="19" t="s">
        <v>4</v>
      </c>
      <c r="D4" s="19" t="s">
        <v>341</v>
      </c>
      <c r="E4" s="19" t="s">
        <v>343</v>
      </c>
      <c r="F4" s="19" t="s">
        <v>6</v>
      </c>
    </row>
    <row r="5" customFormat="false" ht="15" hidden="false" customHeight="true" outlineLevel="0" collapsed="false">
      <c r="A5" s="35" t="s">
        <v>103</v>
      </c>
      <c r="B5" s="35" t="n">
        <f aca="false">COUNTIF(EngagementData!$D$2:$D$121,"Carousel")</f>
        <v>20</v>
      </c>
      <c r="C5" s="35" t="n">
        <f aca="false">ROUND(AVERAGEIF(EngagementData!$D$2:$D$121,"Carousel",EngagementData!$P$2:$P$121),2)</f>
        <v>11.1</v>
      </c>
      <c r="D5" s="37" t="n">
        <f aca="false">SUMIF(EngagementData!$D$2:$D$121,"Carousel",EngagementData!$J$2:$J$121)</f>
        <v>63037</v>
      </c>
      <c r="E5" s="37" t="n">
        <f aca="false">SUMIF(EngagementData!$D$2:$D$121,"Carousel",EngagementData!$L$2:$L$121)</f>
        <v>5850</v>
      </c>
      <c r="F5" s="35" t="n">
        <f aca="false">ROUND(AVERAGEIF(EngagementData!$D$2:$D$121,"Carousel",EngagementData!$S$2:$S$121),2)</f>
        <v>6.88</v>
      </c>
    </row>
    <row r="6" customFormat="false" ht="15" hidden="false" customHeight="true" outlineLevel="0" collapsed="false">
      <c r="A6" s="35" t="s">
        <v>111</v>
      </c>
      <c r="B6" s="35" t="n">
        <f aca="false">COUNTIF(EngagementData!$D$2:$D$121,"Image")</f>
        <v>19</v>
      </c>
      <c r="C6" s="35" t="n">
        <f aca="false">ROUND(AVERAGEIF(EngagementData!$D$2:$D$121,"Image",EngagementData!$P$2:$P$121),2)</f>
        <v>10.39</v>
      </c>
      <c r="D6" s="37" t="n">
        <f aca="false">SUMIF(EngagementData!$D$2:$D$121,"Image",EngagementData!$J$2:$J$121)</f>
        <v>46672</v>
      </c>
      <c r="E6" s="37" t="n">
        <f aca="false">SUMIF(EngagementData!$D$2:$D$121,"Image",EngagementData!$L$2:$L$121)</f>
        <v>3506</v>
      </c>
      <c r="F6" s="35" t="n">
        <f aca="false">ROUND(AVERAGEIF(EngagementData!$D$2:$D$121,"Image",EngagementData!$S$2:$S$121),2)</f>
        <v>6.47</v>
      </c>
    </row>
    <row r="7" customFormat="false" ht="15" hidden="false" customHeight="true" outlineLevel="0" collapsed="false">
      <c r="A7" s="35" t="s">
        <v>49</v>
      </c>
      <c r="B7" s="35" t="n">
        <f aca="false">COUNTIF(EngagementData!$D$2:$D$121,"Reel")</f>
        <v>21</v>
      </c>
      <c r="C7" s="35" t="n">
        <f aca="false">ROUND(AVERAGEIF(EngagementData!$D$2:$D$121,"Reel",EngagementData!$P$2:$P$121),2)</f>
        <v>10.39</v>
      </c>
      <c r="D7" s="37" t="n">
        <f aca="false">SUMIF(EngagementData!$D$2:$D$121,"Reel",EngagementData!$J$2:$J$121)</f>
        <v>64081</v>
      </c>
      <c r="E7" s="37" t="n">
        <f aca="false">SUMIF(EngagementData!$D$2:$D$121,"Reel",EngagementData!$L$2:$L$121)</f>
        <v>4086</v>
      </c>
      <c r="F7" s="35" t="n">
        <f aca="false">ROUND(AVERAGEIF(EngagementData!$D$2:$D$121,"Reel",EngagementData!$S$2:$S$121),2)</f>
        <v>6.08</v>
      </c>
    </row>
    <row r="8" customFormat="false" ht="15" hidden="false" customHeight="true" outlineLevel="0" collapsed="false">
      <c r="A8" s="35" t="s">
        <v>58</v>
      </c>
      <c r="B8" s="35" t="n">
        <f aca="false">COUNTIF(EngagementData!$D$2:$D$121,"Story")</f>
        <v>26</v>
      </c>
      <c r="C8" s="35" t="n">
        <f aca="false">ROUND(AVERAGEIF(EngagementData!$D$2:$D$121,"Story",EngagementData!$P$2:$P$121),2)</f>
        <v>12.22</v>
      </c>
      <c r="D8" s="37" t="n">
        <f aca="false">SUMIF(EngagementData!$D$2:$D$121,"Story",EngagementData!$J$2:$J$121)</f>
        <v>84273</v>
      </c>
      <c r="E8" s="37" t="n">
        <f aca="false">SUMIF(EngagementData!$D$2:$D$121,"Story",EngagementData!$L$2:$L$121)</f>
        <v>5346</v>
      </c>
      <c r="F8" s="35" t="n">
        <f aca="false">ROUND(AVERAGEIF(EngagementData!$D$2:$D$121,"Story",EngagementData!$S$2:$S$121),2)</f>
        <v>6.84</v>
      </c>
    </row>
    <row r="9" customFormat="false" ht="15" hidden="false" customHeight="true" outlineLevel="0" collapsed="false">
      <c r="A9" s="35" t="s">
        <v>85</v>
      </c>
      <c r="B9" s="35" t="n">
        <f aca="false">COUNTIF(EngagementData!$D$2:$D$121,"Text Post")</f>
        <v>16</v>
      </c>
      <c r="C9" s="35" t="n">
        <f aca="false">ROUND(AVERAGEIF(EngagementData!$D$2:$D$121,"Text Post",EngagementData!$P$2:$P$121),2)</f>
        <v>10.34</v>
      </c>
      <c r="D9" s="37" t="n">
        <f aca="false">SUMIF(EngagementData!$D$2:$D$121,"Text Post",EngagementData!$J$2:$J$121)</f>
        <v>51144</v>
      </c>
      <c r="E9" s="37" t="n">
        <f aca="false">SUMIF(EngagementData!$D$2:$D$121,"Text Post",EngagementData!$L$2:$L$121)</f>
        <v>3696</v>
      </c>
      <c r="F9" s="35" t="n">
        <f aca="false">ROUND(AVERAGEIF(EngagementData!$D$2:$D$121,"Text Post",EngagementData!$S$2:$S$121),2)</f>
        <v>5.97</v>
      </c>
    </row>
    <row r="10" customFormat="false" ht="15" hidden="false" customHeight="true" outlineLevel="0" collapsed="false">
      <c r="A10" s="35" t="s">
        <v>66</v>
      </c>
      <c r="B10" s="35" t="n">
        <f aca="false">COUNTIF(EngagementData!$D$2:$D$121,"Video")</f>
        <v>18</v>
      </c>
      <c r="C10" s="35" t="n">
        <f aca="false">ROUND(AVERAGEIF(EngagementData!$D$2:$D$121,"Video",EngagementData!$P$2:$P$121),2)</f>
        <v>13.12</v>
      </c>
      <c r="D10" s="37" t="n">
        <f aca="false">SUMIF(EngagementData!$D$2:$D$121,"Video",EngagementData!$J$2:$J$121)</f>
        <v>73707</v>
      </c>
      <c r="E10" s="37" t="n">
        <f aca="false">SUMIF(EngagementData!$D$2:$D$121,"Video",EngagementData!$L$2:$L$121)</f>
        <v>4412</v>
      </c>
      <c r="F10" s="35" t="n">
        <f aca="false">ROUND(AVERAGEIF(EngagementData!$D$2:$D$121,"Video",EngagementData!$S$2:$S$121),2)</f>
        <v>6.99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45"/>
  </cols>
  <sheetData>
    <row r="1" customFormat="false" ht="19.5" hidden="false" customHeight="true" outlineLevel="0" collapsed="false">
      <c r="A1" s="25" t="s">
        <v>360</v>
      </c>
      <c r="B1" s="25"/>
      <c r="C1" s="25"/>
      <c r="D1" s="25"/>
      <c r="E1" s="25"/>
    </row>
    <row r="2" customFormat="false" ht="15" hidden="false" customHeight="true" outlineLevel="0" collapsed="false">
      <c r="A2" s="26" t="s">
        <v>361</v>
      </c>
      <c r="B2" s="26"/>
      <c r="C2" s="26"/>
      <c r="D2" s="26"/>
      <c r="E2" s="26"/>
    </row>
    <row r="4" customFormat="false" ht="15" hidden="false" customHeight="true" outlineLevel="0" collapsed="false">
      <c r="A4" s="19" t="s">
        <v>10</v>
      </c>
      <c r="B4" s="19" t="s">
        <v>349</v>
      </c>
      <c r="C4" s="19" t="s">
        <v>11</v>
      </c>
      <c r="D4" s="19" t="s">
        <v>4</v>
      </c>
      <c r="E4" s="19" t="s">
        <v>362</v>
      </c>
    </row>
    <row r="5" customFormat="false" ht="15" hidden="false" customHeight="true" outlineLevel="0" collapsed="false">
      <c r="A5" s="35" t="s">
        <v>108</v>
      </c>
      <c r="B5" s="35" t="n">
        <f aca="false">COUNTIF(EngagementData!$T$2:$T$121,"10:00 AM")</f>
        <v>14</v>
      </c>
      <c r="C5" s="37" t="n">
        <f aca="false">ROUND(AVERAGEIF(EngagementData!$T$2:$T$121,"10:00 AM",EngagementData!$I$2:$I$121),0)</f>
        <v>39645</v>
      </c>
      <c r="D5" s="38" t="n">
        <f aca="false">ROUND(AVERAGEIF(EngagementData!$T$2:$T$121,"10:00 AM",EngagementData!$P$2:$P$121),2)</f>
        <v>12.14</v>
      </c>
      <c r="E5" s="37" t="n">
        <f aca="false">ROUND(AVERAGEIF(EngagementData!$T$2:$T$121,"10:00 AM",EngagementData!$H$2:$H$121),0)</f>
        <v>55490</v>
      </c>
    </row>
    <row r="6" customFormat="false" ht="15" hidden="false" customHeight="true" outlineLevel="0" collapsed="false">
      <c r="A6" s="35" t="s">
        <v>70</v>
      </c>
      <c r="B6" s="35" t="n">
        <f aca="false">COUNTIF(EngagementData!$T$2:$T$121,"12:00 PM")</f>
        <v>20</v>
      </c>
      <c r="C6" s="37" t="n">
        <f aca="false">ROUND(AVERAGEIF(EngagementData!$T$2:$T$121,"12:00 PM",EngagementData!$I$2:$I$121),0)</f>
        <v>31922</v>
      </c>
      <c r="D6" s="38" t="n">
        <f aca="false">ROUND(AVERAGEIF(EngagementData!$T$2:$T$121,"12:00 PM",EngagementData!$P$2:$P$121),2)</f>
        <v>12.82</v>
      </c>
      <c r="E6" s="37" t="n">
        <f aca="false">ROUND(AVERAGEIF(EngagementData!$T$2:$T$121,"12:00 PM",EngagementData!$H$2:$H$121),0)</f>
        <v>44744</v>
      </c>
    </row>
    <row r="7" customFormat="false" ht="15" hidden="false" customHeight="true" outlineLevel="0" collapsed="false">
      <c r="A7" s="35" t="s">
        <v>87</v>
      </c>
      <c r="B7" s="35" t="n">
        <f aca="false">COUNTIF(EngagementData!$T$2:$T$121,"1:00 PM")</f>
        <v>14</v>
      </c>
      <c r="C7" s="37" t="n">
        <f aca="false">ROUND(AVERAGEIF(EngagementData!$T$2:$T$121,"1:00 PM",EngagementData!$I$2:$I$121),0)</f>
        <v>32984</v>
      </c>
      <c r="D7" s="38" t="n">
        <f aca="false">ROUND(AVERAGEIF(EngagementData!$T$2:$T$121,"1:00 PM",EngagementData!$P$2:$P$121),2)</f>
        <v>9.64</v>
      </c>
      <c r="E7" s="37" t="n">
        <f aca="false">ROUND(AVERAGEIF(EngagementData!$T$2:$T$121,"1:00 PM",EngagementData!$H$2:$H$121),0)</f>
        <v>48066</v>
      </c>
    </row>
    <row r="8" customFormat="false" ht="15" hidden="false" customHeight="true" outlineLevel="0" collapsed="false">
      <c r="A8" s="35" t="s">
        <v>152</v>
      </c>
      <c r="B8" s="35" t="n">
        <f aca="false">COUNTIF(EngagementData!$T$2:$T$121,"5:00 PM")</f>
        <v>21</v>
      </c>
      <c r="C8" s="37" t="n">
        <f aca="false">ROUND(AVERAGEIF(EngagementData!$T$2:$T$121,"5:00 PM",EngagementData!$I$2:$I$121),0)</f>
        <v>39732</v>
      </c>
      <c r="D8" s="38" t="n">
        <f aca="false">ROUND(AVERAGEIF(EngagementData!$T$2:$T$121,"5:00 PM",EngagementData!$P$2:$P$121),2)</f>
        <v>9.15</v>
      </c>
      <c r="E8" s="37" t="n">
        <f aca="false">ROUND(AVERAGEIF(EngagementData!$T$2:$T$121,"5:00 PM",EngagementData!$H$2:$H$121),0)</f>
        <v>56587</v>
      </c>
    </row>
    <row r="9" customFormat="false" ht="15" hidden="false" customHeight="true" outlineLevel="0" collapsed="false">
      <c r="A9" s="35" t="s">
        <v>122</v>
      </c>
      <c r="B9" s="35" t="n">
        <f aca="false">COUNTIF(EngagementData!$T$2:$T$121,"6:00 PM")</f>
        <v>12</v>
      </c>
      <c r="C9" s="37" t="n">
        <f aca="false">ROUND(AVERAGEIF(EngagementData!$T$2:$T$121,"6:00 PM",EngagementData!$I$2:$I$121),0)</f>
        <v>43393</v>
      </c>
      <c r="D9" s="38" t="n">
        <f aca="false">ROUND(AVERAGEIF(EngagementData!$T$2:$T$121,"6:00 PM",EngagementData!$P$2:$P$121),2)</f>
        <v>9.66</v>
      </c>
      <c r="E9" s="37" t="n">
        <f aca="false">ROUND(AVERAGEIF(EngagementData!$T$2:$T$121,"6:00 PM",EngagementData!$H$2:$H$121),0)</f>
        <v>59622</v>
      </c>
    </row>
    <row r="10" customFormat="false" ht="15" hidden="false" customHeight="true" outlineLevel="0" collapsed="false">
      <c r="A10" s="35" t="s">
        <v>53</v>
      </c>
      <c r="B10" s="35" t="n">
        <f aca="false">COUNTIF(EngagementData!$T$2:$T$121,"7:00 PM")</f>
        <v>15</v>
      </c>
      <c r="C10" s="37" t="n">
        <f aca="false">ROUND(AVERAGEIF(EngagementData!$T$2:$T$121,"7:00 PM",EngagementData!$I$2:$I$121),0)</f>
        <v>36510</v>
      </c>
      <c r="D10" s="38" t="n">
        <f aca="false">ROUND(AVERAGEIF(EngagementData!$T$2:$T$121,"7:00 PM",EngagementData!$P$2:$P$121),2)</f>
        <v>14.35</v>
      </c>
      <c r="E10" s="37" t="n">
        <f aca="false">ROUND(AVERAGEIF(EngagementData!$T$2:$T$121,"7:00 PM",EngagementData!$H$2:$H$121),0)</f>
        <v>51522</v>
      </c>
    </row>
    <row r="11" customFormat="false" ht="15" hidden="false" customHeight="true" outlineLevel="0" collapsed="false">
      <c r="A11" s="35" t="s">
        <v>140</v>
      </c>
      <c r="B11" s="35" t="n">
        <f aca="false">COUNTIF(EngagementData!$T$2:$T$121,"8:00 AM")</f>
        <v>9</v>
      </c>
      <c r="C11" s="37" t="n">
        <f aca="false">ROUND(AVERAGEIF(EngagementData!$T$2:$T$121,"8:00 AM",EngagementData!$I$2:$I$121),0)</f>
        <v>40162</v>
      </c>
      <c r="D11" s="38" t="n">
        <f aca="false">ROUND(AVERAGEIF(EngagementData!$T$2:$T$121,"8:00 AM",EngagementData!$P$2:$P$121),2)</f>
        <v>15.67</v>
      </c>
      <c r="E11" s="37" t="n">
        <f aca="false">ROUND(AVERAGEIF(EngagementData!$T$2:$T$121,"8:00 AM",EngagementData!$H$2:$H$121),0)</f>
        <v>60749</v>
      </c>
    </row>
    <row r="12" customFormat="false" ht="15" hidden="false" customHeight="true" outlineLevel="0" collapsed="false">
      <c r="A12" s="35" t="s">
        <v>61</v>
      </c>
      <c r="B12" s="35" t="n">
        <f aca="false">COUNTIF(EngagementData!$T$2:$T$121,"9:00 AM")</f>
        <v>15</v>
      </c>
      <c r="C12" s="37" t="n">
        <f aca="false">ROUND(AVERAGEIF(EngagementData!$T$2:$T$121,"9:00 AM",EngagementData!$I$2:$I$121),0)</f>
        <v>29788</v>
      </c>
      <c r="D12" s="38" t="n">
        <f aca="false">ROUND(AVERAGEIF(EngagementData!$T$2:$T$121,"9:00 AM",EngagementData!$P$2:$P$121),2)</f>
        <v>8.75</v>
      </c>
      <c r="E12" s="37" t="n">
        <f aca="false">ROUND(AVERAGEIF(EngagementData!$T$2:$T$121,"9:00 AM",EngagementData!$H$2:$H$121),0)</f>
        <v>42960</v>
      </c>
    </row>
  </sheetData>
  <mergeCells count="2">
    <mergeCell ref="A1:E1"/>
    <mergeCell ref="A2:E2"/>
  </mergeCells>
  <conditionalFormatting sqref="D5:D12">
    <cfRule type="colorScale" priority="2">
      <colorScale>
        <cfvo type="min" val="0"/>
        <cfvo type="max" val="0"/>
        <color rgb="FFFFC7CE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45"/>
  </cols>
  <sheetData>
    <row r="1" customFormat="false" ht="19.5" hidden="false" customHeight="true" outlineLevel="0" collapsed="false">
      <c r="A1" s="25" t="s">
        <v>363</v>
      </c>
      <c r="B1" s="25"/>
      <c r="C1" s="25"/>
      <c r="D1" s="25"/>
      <c r="E1" s="25"/>
    </row>
    <row r="2" customFormat="false" ht="15" hidden="false" customHeight="true" outlineLevel="0" collapsed="false">
      <c r="A2" s="26" t="s">
        <v>364</v>
      </c>
      <c r="B2" s="26"/>
      <c r="C2" s="26"/>
      <c r="D2" s="26"/>
      <c r="E2" s="26"/>
    </row>
    <row r="4" customFormat="false" ht="15" hidden="false" customHeight="true" outlineLevel="0" collapsed="false">
      <c r="A4" s="19" t="s">
        <v>29</v>
      </c>
      <c r="B4" s="19" t="s">
        <v>349</v>
      </c>
      <c r="C4" s="19" t="s">
        <v>4</v>
      </c>
      <c r="D4" s="19" t="s">
        <v>11</v>
      </c>
      <c r="E4" s="19" t="s">
        <v>340</v>
      </c>
    </row>
    <row r="5" customFormat="false" ht="15" hidden="false" customHeight="true" outlineLevel="0" collapsed="false">
      <c r="A5" s="35" t="s">
        <v>69</v>
      </c>
      <c r="B5" s="35" t="n">
        <f aca="false">COUNTIF(EngagementData!$G$2:$G$121,"#AIMarketing #DataDriven #Analytics")</f>
        <v>19</v>
      </c>
      <c r="C5" s="35" t="n">
        <f aca="false">ROUND(AVERAGEIF(EngagementData!$G$2:$G$121,"#AIMarketing #DataDriven #Analytics",EngagementData!$P$2:$P$121),2)</f>
        <v>10.28</v>
      </c>
      <c r="D5" s="37" t="n">
        <f aca="false">ROUND(AVERAGEIF(EngagementData!$G$2:$G$121,"#AIMarketing #DataDriven #Analytics",EngagementData!$I$2:$I$121),0)</f>
        <v>37767</v>
      </c>
      <c r="E5" s="35" t="n">
        <f aca="false">ROUND(AVERAGEIF(EngagementData!$G$2:$G$121,"#AIMarketing #DataDriven #Analytics",EngagementData!$R$2:$R$121),2)</f>
        <v>0.52</v>
      </c>
    </row>
    <row r="6" customFormat="false" ht="15" hidden="false" customHeight="true" outlineLevel="0" collapsed="false">
      <c r="A6" s="35" t="s">
        <v>81</v>
      </c>
      <c r="B6" s="35" t="n">
        <f aca="false">COUNTIF(EngagementData!$G$2:$G$121,"#ContentCreator #InstagramMarketing #LinkedInTips")</f>
        <v>13</v>
      </c>
      <c r="C6" s="35" t="n">
        <f aca="false">ROUND(AVERAGEIF(EngagementData!$G$2:$G$121,"#ContentCreator #InstagramMarketing #LinkedInTips",EngagementData!$P$2:$P$121),2)</f>
        <v>13.1</v>
      </c>
      <c r="D6" s="37" t="n">
        <f aca="false">ROUND(AVERAGEIF(EngagementData!$G$2:$G$121,"#ContentCreator #InstagramMarketing #LinkedInTips",EngagementData!$I$2:$I$121),0)</f>
        <v>37060</v>
      </c>
      <c r="E6" s="35" t="n">
        <f aca="false">ROUND(AVERAGEIF(EngagementData!$G$2:$G$121,"#ContentCreator #InstagramMarketing #LinkedInTips",EngagementData!$R$2:$R$121),2)</f>
        <v>0.56</v>
      </c>
    </row>
    <row r="7" customFormat="false" ht="15" hidden="false" customHeight="true" outlineLevel="0" collapsed="false">
      <c r="A7" s="35" t="s">
        <v>52</v>
      </c>
      <c r="B7" s="35" t="n">
        <f aca="false">COUNTIF(EngagementData!$G$2:$G$121,"#DigitalMarketing #SocialMedia #ContentStrategy")</f>
        <v>18</v>
      </c>
      <c r="C7" s="35" t="n">
        <f aca="false">ROUND(AVERAGEIF(EngagementData!$G$2:$G$121,"#DigitalMarketing #SocialMedia #ContentStrategy",EngagementData!$P$2:$P$121),2)</f>
        <v>9.5</v>
      </c>
      <c r="D7" s="37" t="n">
        <f aca="false">ROUND(AVERAGEIF(EngagementData!$G$2:$G$121,"#DigitalMarketing #SocialMedia #ContentStrategy",EngagementData!$I$2:$I$121),0)</f>
        <v>36081</v>
      </c>
      <c r="E7" s="35" t="n">
        <f aca="false">ROUND(AVERAGEIF(EngagementData!$G$2:$G$121,"#DigitalMarketing #SocialMedia #ContentStrategy",EngagementData!$R$2:$R$121),2)</f>
        <v>0.5</v>
      </c>
    </row>
    <row r="8" customFormat="false" ht="15" hidden="false" customHeight="true" outlineLevel="0" collapsed="false">
      <c r="A8" s="35" t="s">
        <v>76</v>
      </c>
      <c r="B8" s="35" t="n">
        <f aca="false">COUNTIF(EngagementData!$G$2:$G$121,"#InfluencerMarketing #ROI #CampaignStrategy")</f>
        <v>8</v>
      </c>
      <c r="C8" s="35" t="n">
        <f aca="false">ROUND(AVERAGEIF(EngagementData!$G$2:$G$121,"#InfluencerMarketing #ROI #CampaignStrategy",EngagementData!$P$2:$P$121),2)</f>
        <v>9.84</v>
      </c>
      <c r="D8" s="37" t="n">
        <f aca="false">ROUND(AVERAGEIF(EngagementData!$G$2:$G$121,"#InfluencerMarketing #ROI #CampaignStrategy",EngagementData!$I$2:$I$121),0)</f>
        <v>28510</v>
      </c>
      <c r="E8" s="35" t="n">
        <f aca="false">ROUND(AVERAGEIF(EngagementData!$G$2:$G$121,"#InfluencerMarketing #ROI #CampaignStrategy",EngagementData!$R$2:$R$121),2)</f>
        <v>0.4</v>
      </c>
    </row>
    <row r="9" customFormat="false" ht="15" hidden="false" customHeight="true" outlineLevel="0" collapsed="false">
      <c r="A9" s="35" t="s">
        <v>60</v>
      </c>
      <c r="B9" s="35" t="n">
        <f aca="false">COUNTIF(EngagementData!$G$2:$G$121,"#MarketingAnalytics #ContentMarketing #Viral")</f>
        <v>16</v>
      </c>
      <c r="C9" s="35" t="n">
        <f aca="false">ROUND(AVERAGEIF(EngagementData!$G$2:$G$121,"#MarketingAnalytics #ContentMarketing #Viral",EngagementData!$P$2:$P$121),2)</f>
        <v>10.55</v>
      </c>
      <c r="D9" s="37" t="n">
        <f aca="false">ROUND(AVERAGEIF(EngagementData!$G$2:$G$121,"#MarketingAnalytics #ContentMarketing #Viral",EngagementData!$I$2:$I$121),0)</f>
        <v>36899</v>
      </c>
      <c r="E9" s="35" t="n">
        <f aca="false">ROUND(AVERAGEIF(EngagementData!$G$2:$G$121,"#MarketingAnalytics #ContentMarketing #Viral",EngagementData!$R$2:$R$121),2)</f>
        <v>0.46</v>
      </c>
    </row>
    <row r="10" customFormat="false" ht="15" hidden="false" customHeight="true" outlineLevel="0" collapsed="false">
      <c r="A10" s="35" t="s">
        <v>128</v>
      </c>
      <c r="B10" s="35" t="n">
        <f aca="false">COUNTIF(EngagementData!$G$2:$G$121,"#MarketingTips #BrandGrowth #Engagement")</f>
        <v>10</v>
      </c>
      <c r="C10" s="35" t="n">
        <f aca="false">ROUND(AVERAGEIF(EngagementData!$G$2:$G$121,"#MarketingTips #BrandGrowth #Engagement",EngagementData!$P$2:$P$121),2)</f>
        <v>12.36</v>
      </c>
      <c r="D10" s="37" t="n">
        <f aca="false">ROUND(AVERAGEIF(EngagementData!$G$2:$G$121,"#MarketingTips #BrandGrowth #Engagement",EngagementData!$I$2:$I$121),0)</f>
        <v>36901</v>
      </c>
      <c r="E10" s="35" t="n">
        <f aca="false">ROUND(AVERAGEIF(EngagementData!$G$2:$G$121,"#MarketingTips #BrandGrowth #Engagement",EngagementData!$R$2:$R$121),2)</f>
        <v>0.59</v>
      </c>
    </row>
    <row r="11" customFormat="false" ht="15" hidden="false" customHeight="true" outlineLevel="0" collapsed="false">
      <c r="A11" s="35" t="s">
        <v>94</v>
      </c>
      <c r="B11" s="35" t="n">
        <f aca="false">COUNTIF(EngagementData!$G$2:$G$121,"#SocialMediaMarketing #GrowthHacking #Branding")</f>
        <v>18</v>
      </c>
      <c r="C11" s="35" t="n">
        <f aca="false">ROUND(AVERAGEIF(EngagementData!$G$2:$G$121,"#SocialMediaMarketing #GrowthHacking #Branding",EngagementData!$P$2:$P$121),2)</f>
        <v>13.07</v>
      </c>
      <c r="D11" s="37" t="n">
        <f aca="false">ROUND(AVERAGEIF(EngagementData!$G$2:$G$121,"#SocialMediaMarketing #GrowthHacking #Branding",EngagementData!$I$2:$I$121),0)</f>
        <v>41467</v>
      </c>
      <c r="E11" s="35" t="n">
        <f aca="false">ROUND(AVERAGEIF(EngagementData!$G$2:$G$121,"#SocialMediaMarketing #GrowthHacking #Branding",EngagementData!$R$2:$R$121),2)</f>
        <v>0.52</v>
      </c>
    </row>
    <row r="12" customFormat="false" ht="15" hidden="false" customHeight="true" outlineLevel="0" collapsed="false">
      <c r="A12" s="35" t="s">
        <v>121</v>
      </c>
      <c r="B12" s="35" t="n">
        <f aca="false">COUNTIF(EngagementData!$G$2:$G$121,"#StartupMarketing #B2BMarketing #LeadGeneration")</f>
        <v>18</v>
      </c>
      <c r="C12" s="35" t="n">
        <f aca="false">ROUND(AVERAGEIF(EngagementData!$G$2:$G$121,"#StartupMarketing #B2BMarketing #LeadGeneration",EngagementData!$P$2:$P$121),2)</f>
        <v>11.87</v>
      </c>
      <c r="D12" s="37" t="n">
        <f aca="false">ROUND(AVERAGEIF(EngagementData!$G$2:$G$121,"#StartupMarketing #B2BMarketing #LeadGeneration",EngagementData!$I$2:$I$121),0)</f>
        <v>32421</v>
      </c>
      <c r="E12" s="35" t="n">
        <f aca="false">ROUND(AVERAGEIF(EngagementData!$G$2:$G$121,"#StartupMarketing #B2BMarketing #LeadGeneration",EngagementData!$R$2:$R$121),2)</f>
        <v>0.57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45"/>
    <col collapsed="false" customWidth="true" hidden="false" outlineLevel="0" max="6" min="6" style="1" width="39"/>
    <col collapsed="false" customWidth="true" hidden="false" outlineLevel="0" max="8" min="7" style="1" width="45"/>
  </cols>
  <sheetData>
    <row r="1" customFormat="false" ht="19.5" hidden="false" customHeight="true" outlineLevel="0" collapsed="false">
      <c r="A1" s="25" t="s">
        <v>365</v>
      </c>
      <c r="B1" s="25"/>
      <c r="C1" s="25"/>
      <c r="D1" s="25"/>
      <c r="E1" s="25"/>
      <c r="F1" s="25"/>
      <c r="G1" s="25"/>
      <c r="H1" s="25"/>
    </row>
    <row r="2" customFormat="false" ht="15" hidden="false" customHeight="true" outlineLevel="0" collapsed="false">
      <c r="A2" s="26" t="s">
        <v>366</v>
      </c>
      <c r="B2" s="26"/>
      <c r="C2" s="26"/>
      <c r="D2" s="26"/>
      <c r="E2" s="26"/>
      <c r="F2" s="26"/>
      <c r="G2" s="26"/>
      <c r="H2" s="26"/>
    </row>
    <row r="4" customFormat="false" ht="15" hidden="false" customHeight="true" outlineLevel="0" collapsed="false">
      <c r="A4" s="19" t="s">
        <v>12</v>
      </c>
      <c r="B4" s="19" t="s">
        <v>13</v>
      </c>
      <c r="C4" s="19" t="s">
        <v>14</v>
      </c>
      <c r="D4" s="19" t="s">
        <v>27</v>
      </c>
      <c r="E4" s="19" t="s">
        <v>26</v>
      </c>
      <c r="F4" s="19" t="s">
        <v>16</v>
      </c>
      <c r="G4" s="19" t="s">
        <v>31</v>
      </c>
      <c r="H4" s="19" t="s">
        <v>39</v>
      </c>
    </row>
    <row r="5" customFormat="false" ht="15" hidden="false" customHeight="true" outlineLevel="0" collapsed="false">
      <c r="A5" s="35" t="n">
        <v>1</v>
      </c>
      <c r="B5" s="35" t="str">
        <f aca="false">INDEX(EngagementData!$A$2:$A$121,MATCH(LARGE(EngagementData!$Y$2:$Y$121,1),EngagementData!$Y$2:$Y$121,0))</f>
        <v>POST119</v>
      </c>
      <c r="C5" s="35" t="str">
        <f aca="false">INDEX(EngagementData!$B$2:$B$121,MATCH(LARGE(EngagementData!$Y$2:$Y$121,1),EngagementData!$Y$2:$Y$121,0))</f>
        <v>Facebook</v>
      </c>
      <c r="D5" s="35" t="str">
        <f aca="false">INDEX(EngagementData!$E$2:$E$121,MATCH(LARGE(EngagementData!$Y$2:$Y$121,1),EngagementData!$Y$2:$Y$121,0))</f>
        <v>Event Highlight</v>
      </c>
      <c r="E5" s="35" t="str">
        <f aca="false">INDEX(EngagementData!$D$2:$D$121,MATCH(LARGE(EngagementData!$Y$2:$Y$121,1),EngagementData!$Y$2:$Y$121,0))</f>
        <v>Video</v>
      </c>
      <c r="F5" s="39" t="n">
        <f aca="false">ROUND(LARGE(EngagementData!$P$2:$P$121,1),2)</f>
        <v>24.6</v>
      </c>
      <c r="G5" s="37" t="n">
        <f aca="false">INDEX(EngagementData!$I$2:$I$121,MATCH(LARGE(EngagementData!$Y$2:$Y$121,1),EngagementData!$Y$2:$Y$121,0))</f>
        <v>55453</v>
      </c>
      <c r="H5" s="40" t="n">
        <f aca="false">INDEX(EngagementData!$S$2:$S$121,MATCH(LARGE(EngagementData!$Y$2:$Y$121,1),EngagementData!$Y$2:$Y$121,0))</f>
        <v>6.7</v>
      </c>
    </row>
    <row r="6" customFormat="false" ht="15" hidden="false" customHeight="true" outlineLevel="0" collapsed="false">
      <c r="A6" s="35" t="n">
        <v>2</v>
      </c>
      <c r="B6" s="35" t="str">
        <f aca="false">INDEX(EngagementData!$A$2:$A$121,MATCH(LARGE(EngagementData!$Y$2:$Y$121,2),EngagementData!$Y$2:$Y$121,0))</f>
        <v>POST039</v>
      </c>
      <c r="C6" s="35" t="str">
        <f aca="false">INDEX(EngagementData!$B$2:$B$121,MATCH(LARGE(EngagementData!$Y$2:$Y$121,2),EngagementData!$Y$2:$Y$121,0))</f>
        <v>Facebook</v>
      </c>
      <c r="D6" s="35" t="str">
        <f aca="false">INDEX(EngagementData!$E$2:$E$121,MATCH(LARGE(EngagementData!$Y$2:$Y$121,2),EngagementData!$Y$2:$Y$121,0))</f>
        <v>User Generated Content</v>
      </c>
      <c r="E6" s="35" t="str">
        <f aca="false">INDEX(EngagementData!$D$2:$D$121,MATCH(LARGE(EngagementData!$Y$2:$Y$121,2),EngagementData!$Y$2:$Y$121,0))</f>
        <v>Carousel</v>
      </c>
      <c r="F6" s="39" t="n">
        <f aca="false">ROUND(LARGE(EngagementData!$P$2:$P$121,2),2)</f>
        <v>24.53</v>
      </c>
      <c r="G6" s="37" t="n">
        <f aca="false">INDEX(EngagementData!$I$2:$I$121,MATCH(LARGE(EngagementData!$Y$2:$Y$121,2),EngagementData!$Y$2:$Y$121,0))</f>
        <v>17239</v>
      </c>
      <c r="H6" s="40" t="n">
        <f aca="false">INDEX(EngagementData!$S$2:$S$121,MATCH(LARGE(EngagementData!$Y$2:$Y$121,2),EngagementData!$Y$2:$Y$121,0))</f>
        <v>7.2</v>
      </c>
    </row>
    <row r="7" customFormat="false" ht="15" hidden="false" customHeight="true" outlineLevel="0" collapsed="false">
      <c r="A7" s="35" t="n">
        <v>3</v>
      </c>
      <c r="B7" s="35" t="str">
        <f aca="false">INDEX(EngagementData!$A$2:$A$121,MATCH(LARGE(EngagementData!$Y$2:$Y$121,3),EngagementData!$Y$2:$Y$121,0))</f>
        <v>POST081</v>
      </c>
      <c r="C7" s="35" t="str">
        <f aca="false">INDEX(EngagementData!$B$2:$B$121,MATCH(LARGE(EngagementData!$Y$2:$Y$121,3),EngagementData!$Y$2:$Y$121,0))</f>
        <v>Twitter/X</v>
      </c>
      <c r="D7" s="35" t="str">
        <f aca="false">INDEX(EngagementData!$E$2:$E$121,MATCH(LARGE(EngagementData!$Y$2:$Y$121,3),EngagementData!$Y$2:$Y$121,0))</f>
        <v>Product Showcase</v>
      </c>
      <c r="E7" s="35" t="str">
        <f aca="false">INDEX(EngagementData!$D$2:$D$121,MATCH(LARGE(EngagementData!$Y$2:$Y$121,3),EngagementData!$Y$2:$Y$121,0))</f>
        <v>Text Post</v>
      </c>
      <c r="F7" s="39" t="n">
        <f aca="false">ROUND(LARGE(EngagementData!$P$2:$P$121,3),2)</f>
        <v>24.17</v>
      </c>
      <c r="G7" s="37" t="n">
        <f aca="false">INDEX(EngagementData!$I$2:$I$121,MATCH(LARGE(EngagementData!$Y$2:$Y$121,3),EngagementData!$Y$2:$Y$121,0))</f>
        <v>67968</v>
      </c>
      <c r="H7" s="40" t="n">
        <f aca="false">INDEX(EngagementData!$S$2:$S$121,MATCH(LARGE(EngagementData!$Y$2:$Y$121,3),EngagementData!$Y$2:$Y$121,0))</f>
        <v>3.6</v>
      </c>
    </row>
    <row r="8" customFormat="false" ht="15" hidden="false" customHeight="true" outlineLevel="0" collapsed="false">
      <c r="A8" s="35" t="n">
        <v>4</v>
      </c>
      <c r="B8" s="35" t="str">
        <f aca="false">INDEX(EngagementData!$A$2:$A$121,MATCH(LARGE(EngagementData!$Y$2:$Y$121,4),EngagementData!$Y$2:$Y$121,0))</f>
        <v>POST034</v>
      </c>
      <c r="C8" s="35" t="str">
        <f aca="false">INDEX(EngagementData!$B$2:$B$121,MATCH(LARGE(EngagementData!$Y$2:$Y$121,4),EngagementData!$Y$2:$Y$121,0))</f>
        <v>LinkedIn</v>
      </c>
      <c r="D8" s="35" t="str">
        <f aca="false">INDEX(EngagementData!$E$2:$E$121,MATCH(LARGE(EngagementData!$Y$2:$Y$121,4),EngagementData!$Y$2:$Y$121,0))</f>
        <v>Promotional</v>
      </c>
      <c r="E8" s="35" t="str">
        <f aca="false">INDEX(EngagementData!$D$2:$D$121,MATCH(LARGE(EngagementData!$Y$2:$Y$121,4),EngagementData!$Y$2:$Y$121,0))</f>
        <v>Carousel</v>
      </c>
      <c r="F8" s="39" t="n">
        <f aca="false">ROUND(LARGE(EngagementData!$P$2:$P$121,4),2)</f>
        <v>22.7</v>
      </c>
      <c r="G8" s="37" t="n">
        <f aca="false">INDEX(EngagementData!$I$2:$I$121,MATCH(LARGE(EngagementData!$Y$2:$Y$121,4),EngagementData!$Y$2:$Y$121,0))</f>
        <v>4031</v>
      </c>
      <c r="H8" s="40" t="n">
        <f aca="false">INDEX(EngagementData!$S$2:$S$121,MATCH(LARGE(EngagementData!$Y$2:$Y$121,4),EngagementData!$Y$2:$Y$121,0))</f>
        <v>8.7</v>
      </c>
    </row>
    <row r="9" customFormat="false" ht="15" hidden="false" customHeight="true" outlineLevel="0" collapsed="false">
      <c r="A9" s="35" t="n">
        <v>5</v>
      </c>
      <c r="B9" s="35" t="str">
        <f aca="false">INDEX(EngagementData!$A$2:$A$121,MATCH(LARGE(EngagementData!$Y$2:$Y$121,5),EngagementData!$Y$2:$Y$121,0))</f>
        <v>POST105</v>
      </c>
      <c r="C9" s="35" t="str">
        <f aca="false">INDEX(EngagementData!$B$2:$B$121,MATCH(LARGE(EngagementData!$Y$2:$Y$121,5),EngagementData!$Y$2:$Y$121,0))</f>
        <v>Instagram</v>
      </c>
      <c r="D9" s="35" t="str">
        <f aca="false">INDEX(EngagementData!$E$2:$E$121,MATCH(LARGE(EngagementData!$Y$2:$Y$121,5),EngagementData!$Y$2:$Y$121,0))</f>
        <v>Event Highlight</v>
      </c>
      <c r="E9" s="35" t="str">
        <f aca="false">INDEX(EngagementData!$D$2:$D$121,MATCH(LARGE(EngagementData!$Y$2:$Y$121,5),EngagementData!$Y$2:$Y$121,0))</f>
        <v>Story</v>
      </c>
      <c r="F9" s="39" t="n">
        <f aca="false">ROUND(LARGE(EngagementData!$P$2:$P$121,5),2)</f>
        <v>22.34</v>
      </c>
      <c r="G9" s="37" t="n">
        <f aca="false">INDEX(EngagementData!$I$2:$I$121,MATCH(LARGE(EngagementData!$Y$2:$Y$121,5),EngagementData!$Y$2:$Y$121,0))</f>
        <v>30438</v>
      </c>
      <c r="H9" s="40" t="n">
        <f aca="false">INDEX(EngagementData!$S$2:$S$121,MATCH(LARGE(EngagementData!$Y$2:$Y$121,5),EngagementData!$Y$2:$Y$121,0))</f>
        <v>5.6</v>
      </c>
    </row>
    <row r="10" customFormat="false" ht="15" hidden="false" customHeight="true" outlineLevel="0" collapsed="false">
      <c r="A10" s="35" t="n">
        <v>6</v>
      </c>
      <c r="B10" s="35" t="str">
        <f aca="false">INDEX(EngagementData!$A$2:$A$121,MATCH(LARGE(EngagementData!$Y$2:$Y$121,6),EngagementData!$Y$2:$Y$121,0))</f>
        <v>POST087</v>
      </c>
      <c r="C10" s="35" t="str">
        <f aca="false">INDEX(EngagementData!$B$2:$B$121,MATCH(LARGE(EngagementData!$Y$2:$Y$121,6),EngagementData!$Y$2:$Y$121,0))</f>
        <v>Instagram</v>
      </c>
      <c r="D10" s="35" t="str">
        <f aca="false">INDEX(EngagementData!$E$2:$E$121,MATCH(LARGE(EngagementData!$Y$2:$Y$121,6),EngagementData!$Y$2:$Y$121,0))</f>
        <v>Motivational</v>
      </c>
      <c r="E10" s="35" t="str">
        <f aca="false">INDEX(EngagementData!$D$2:$D$121,MATCH(LARGE(EngagementData!$Y$2:$Y$121,6),EngagementData!$Y$2:$Y$121,0))</f>
        <v>Reel</v>
      </c>
      <c r="F10" s="39" t="n">
        <f aca="false">ROUND(LARGE(EngagementData!$P$2:$P$121,6),2)</f>
        <v>22.32</v>
      </c>
      <c r="G10" s="37" t="n">
        <f aca="false">INDEX(EngagementData!$I$2:$I$121,MATCH(LARGE(EngagementData!$Y$2:$Y$121,6),EngagementData!$Y$2:$Y$121,0))</f>
        <v>15076</v>
      </c>
      <c r="H10" s="40" t="n">
        <f aca="false">INDEX(EngagementData!$S$2:$S$121,MATCH(LARGE(EngagementData!$Y$2:$Y$121,6),EngagementData!$Y$2:$Y$121,0))</f>
        <v>3.8</v>
      </c>
    </row>
    <row r="11" customFormat="false" ht="15" hidden="false" customHeight="true" outlineLevel="0" collapsed="false">
      <c r="A11" s="35" t="n">
        <v>7</v>
      </c>
      <c r="B11" s="35" t="str">
        <f aca="false">INDEX(EngagementData!$A$2:$A$121,MATCH(LARGE(EngagementData!$Y$2:$Y$121,7),EngagementData!$Y$2:$Y$121,0))</f>
        <v>POST042</v>
      </c>
      <c r="C11" s="35" t="str">
        <f aca="false">INDEX(EngagementData!$B$2:$B$121,MATCH(LARGE(EngagementData!$Y$2:$Y$121,7),EngagementData!$Y$2:$Y$121,0))</f>
        <v>Instagram</v>
      </c>
      <c r="D11" s="35" t="str">
        <f aca="false">INDEX(EngagementData!$E$2:$E$121,MATCH(LARGE(EngagementData!$Y$2:$Y$121,7),EngagementData!$Y$2:$Y$121,0))</f>
        <v>Promotional</v>
      </c>
      <c r="E11" s="35" t="str">
        <f aca="false">INDEX(EngagementData!$D$2:$D$121,MATCH(LARGE(EngagementData!$Y$2:$Y$121,7),EngagementData!$Y$2:$Y$121,0))</f>
        <v>Image</v>
      </c>
      <c r="F11" s="39" t="n">
        <f aca="false">ROUND(LARGE(EngagementData!$P$2:$P$121,7),2)</f>
        <v>22.19</v>
      </c>
      <c r="G11" s="37" t="n">
        <f aca="false">INDEX(EngagementData!$I$2:$I$121,MATCH(LARGE(EngagementData!$Y$2:$Y$121,7),EngagementData!$Y$2:$Y$121,0))</f>
        <v>41021</v>
      </c>
      <c r="H11" s="40" t="n">
        <f aca="false">INDEX(EngagementData!$S$2:$S$121,MATCH(LARGE(EngagementData!$Y$2:$Y$121,7),EngagementData!$Y$2:$Y$121,0))</f>
        <v>7.2</v>
      </c>
    </row>
    <row r="12" customFormat="false" ht="15" hidden="false" customHeight="true" outlineLevel="0" collapsed="false">
      <c r="A12" s="35" t="n">
        <v>8</v>
      </c>
      <c r="B12" s="35" t="str">
        <f aca="false">INDEX(EngagementData!$A$2:$A$121,MATCH(LARGE(EngagementData!$Y$2:$Y$121,8),EngagementData!$Y$2:$Y$121,0))</f>
        <v>POST031</v>
      </c>
      <c r="C12" s="35" t="str">
        <f aca="false">INDEX(EngagementData!$B$2:$B$121,MATCH(LARGE(EngagementData!$Y$2:$Y$121,8),EngagementData!$Y$2:$Y$121,0))</f>
        <v>Facebook</v>
      </c>
      <c r="D12" s="35" t="str">
        <f aca="false">INDEX(EngagementData!$E$2:$E$121,MATCH(LARGE(EngagementData!$Y$2:$Y$121,8),EngagementData!$Y$2:$Y$121,0))</f>
        <v>Event Highlight</v>
      </c>
      <c r="E12" s="35" t="str">
        <f aca="false">INDEX(EngagementData!$D$2:$D$121,MATCH(LARGE(EngagementData!$Y$2:$Y$121,8),EngagementData!$Y$2:$Y$121,0))</f>
        <v>Story</v>
      </c>
      <c r="F12" s="39" t="n">
        <f aca="false">ROUND(LARGE(EngagementData!$P$2:$P$121,8),2)</f>
        <v>22.05</v>
      </c>
      <c r="G12" s="37" t="n">
        <f aca="false">INDEX(EngagementData!$I$2:$I$121,MATCH(LARGE(EngagementData!$Y$2:$Y$121,8),EngagementData!$Y$2:$Y$121,0))</f>
        <v>34148</v>
      </c>
      <c r="H12" s="40" t="n">
        <f aca="false">INDEX(EngagementData!$S$2:$S$121,MATCH(LARGE(EngagementData!$Y$2:$Y$121,8),EngagementData!$Y$2:$Y$121,0))</f>
        <v>6.9</v>
      </c>
    </row>
    <row r="13" customFormat="false" ht="15" hidden="false" customHeight="true" outlineLevel="0" collapsed="false">
      <c r="A13" s="35" t="n">
        <v>9</v>
      </c>
      <c r="B13" s="35" t="str">
        <f aca="false">INDEX(EngagementData!$A$2:$A$121,MATCH(LARGE(EngagementData!$Y$2:$Y$121,9),EngagementData!$Y$2:$Y$121,0))</f>
        <v>POST028</v>
      </c>
      <c r="C13" s="35" t="str">
        <f aca="false">INDEX(EngagementData!$B$2:$B$121,MATCH(LARGE(EngagementData!$Y$2:$Y$121,9),EngagementData!$Y$2:$Y$121,0))</f>
        <v>Facebook</v>
      </c>
      <c r="D13" s="35" t="str">
        <f aca="false">INDEX(EngagementData!$E$2:$E$121,MATCH(LARGE(EngagementData!$Y$2:$Y$121,9),EngagementData!$Y$2:$Y$121,0))</f>
        <v>Industry News</v>
      </c>
      <c r="E13" s="35" t="str">
        <f aca="false">INDEX(EngagementData!$D$2:$D$121,MATCH(LARGE(EngagementData!$Y$2:$Y$121,9),EngagementData!$Y$2:$Y$121,0))</f>
        <v>Story</v>
      </c>
      <c r="F13" s="39" t="n">
        <f aca="false">ROUND(LARGE(EngagementData!$P$2:$P$121,9),2)</f>
        <v>22.05</v>
      </c>
      <c r="G13" s="37" t="n">
        <f aca="false">INDEX(EngagementData!$I$2:$I$121,MATCH(LARGE(EngagementData!$Y$2:$Y$121,9),EngagementData!$Y$2:$Y$121,0))</f>
        <v>49105</v>
      </c>
      <c r="H13" s="40" t="n">
        <f aca="false">INDEX(EngagementData!$S$2:$S$121,MATCH(LARGE(EngagementData!$Y$2:$Y$121,9),EngagementData!$Y$2:$Y$121,0))</f>
        <v>6.8</v>
      </c>
    </row>
    <row r="14" customFormat="false" ht="15" hidden="false" customHeight="true" outlineLevel="0" collapsed="false">
      <c r="A14" s="35" t="n">
        <v>10</v>
      </c>
      <c r="B14" s="35" t="str">
        <f aca="false">INDEX(EngagementData!$A$2:$A$121,MATCH(LARGE(EngagementData!$Y$2:$Y$121,10),EngagementData!$Y$2:$Y$121,0))</f>
        <v>POST003</v>
      </c>
      <c r="C14" s="35" t="str">
        <f aca="false">INDEX(EngagementData!$B$2:$B$121,MATCH(LARGE(EngagementData!$Y$2:$Y$121,10),EngagementData!$Y$2:$Y$121,0))</f>
        <v>Twitter/X</v>
      </c>
      <c r="D14" s="35" t="str">
        <f aca="false">INDEX(EngagementData!$E$2:$E$121,MATCH(LARGE(EngagementData!$Y$2:$Y$121,10),EngagementData!$Y$2:$Y$121,0))</f>
        <v>Promotional</v>
      </c>
      <c r="E14" s="35" t="str">
        <f aca="false">INDEX(EngagementData!$D$2:$D$121,MATCH(LARGE(EngagementData!$Y$2:$Y$121,10),EngagementData!$Y$2:$Y$121,0))</f>
        <v>Video</v>
      </c>
      <c r="F14" s="39" t="n">
        <f aca="false">ROUND(LARGE(EngagementData!$P$2:$P$121,10),2)</f>
        <v>21.89</v>
      </c>
      <c r="G14" s="37" t="n">
        <f aca="false">INDEX(EngagementData!$I$2:$I$121,MATCH(LARGE(EngagementData!$Y$2:$Y$121,10),EngagementData!$Y$2:$Y$121,0))</f>
        <v>8464</v>
      </c>
      <c r="H14" s="40" t="n">
        <f aca="false">INDEX(EngagementData!$S$2:$S$121,MATCH(LARGE(EngagementData!$Y$2:$Y$121,10),EngagementData!$Y$2:$Y$121,0))</f>
        <v>8.4</v>
      </c>
    </row>
    <row r="17" customFormat="false" ht="15" hidden="false" customHeight="true" outlineLevel="0" collapsed="false">
      <c r="A17" s="34" t="s">
        <v>367</v>
      </c>
    </row>
    <row r="18" customFormat="false" ht="15" hidden="false" customHeight="true" outlineLevel="0" collapsed="false">
      <c r="A18" s="19" t="s">
        <v>12</v>
      </c>
      <c r="B18" s="19" t="s">
        <v>13</v>
      </c>
      <c r="C18" s="19" t="s">
        <v>14</v>
      </c>
      <c r="D18" s="19" t="s">
        <v>27</v>
      </c>
      <c r="E18" s="19" t="s">
        <v>26</v>
      </c>
      <c r="F18" s="19" t="s">
        <v>16</v>
      </c>
      <c r="G18" s="19" t="s">
        <v>31</v>
      </c>
      <c r="H18" s="19" t="s">
        <v>39</v>
      </c>
    </row>
    <row r="19" customFormat="false" ht="15" hidden="false" customHeight="true" outlineLevel="0" collapsed="false">
      <c r="A19" s="35" t="n">
        <v>1</v>
      </c>
      <c r="B19" s="35" t="str">
        <f aca="false">INDEX(EngagementData!$A$2:$A$121,MATCH(SMALL(EngagementData!$Y$2:$Y$121,1),EngagementData!$Y$2:$Y$121,0))</f>
        <v>POST027</v>
      </c>
      <c r="C19" s="35" t="str">
        <f aca="false">INDEX(EngagementData!$B$2:$B$121,MATCH(SMALL(EngagementData!$Y$2:$Y$121,1),EngagementData!$Y$2:$Y$121,0))</f>
        <v>Twitter/X</v>
      </c>
      <c r="D19" s="35" t="str">
        <f aca="false">INDEX(EngagementData!$E$2:$E$121,MATCH(SMALL(EngagementData!$Y$2:$Y$121,1),EngagementData!$Y$2:$Y$121,0))</f>
        <v>Industry News</v>
      </c>
      <c r="E19" s="35" t="str">
        <f aca="false">INDEX(EngagementData!$D$2:$D$121,MATCH(SMALL(EngagementData!$Y$2:$Y$121,1),EngagementData!$Y$2:$Y$121,0))</f>
        <v>Story</v>
      </c>
      <c r="F19" s="39" t="n">
        <f aca="false">ROUND(SMALL(EngagementData!$P$2:$P$121,1),2)</f>
        <v>0.65</v>
      </c>
      <c r="G19" s="37" t="n">
        <f aca="false">INDEX(EngagementData!$I$2:$I$121,MATCH(SMALL(EngagementData!$Y$2:$Y$121,1),EngagementData!$Y$2:$Y$121,0))</f>
        <v>15565</v>
      </c>
      <c r="H19" s="40" t="n">
        <f aca="false">INDEX(EngagementData!$S$2:$S$121,MATCH(SMALL(EngagementData!$Y$2:$Y$121,1),EngagementData!$Y$2:$Y$121,0))</f>
        <v>7</v>
      </c>
    </row>
    <row r="20" customFormat="false" ht="15" hidden="false" customHeight="true" outlineLevel="0" collapsed="false">
      <c r="A20" s="35" t="n">
        <v>2</v>
      </c>
      <c r="B20" s="35" t="str">
        <f aca="false">INDEX(EngagementData!$A$2:$A$121,MATCH(SMALL(EngagementData!$Y$2:$Y$121,2),EngagementData!$Y$2:$Y$121,0))</f>
        <v>POST007</v>
      </c>
      <c r="C20" s="35" t="str">
        <f aca="false">INDEX(EngagementData!$B$2:$B$121,MATCH(SMALL(EngagementData!$Y$2:$Y$121,2),EngagementData!$Y$2:$Y$121,0))</f>
        <v>Twitter/X</v>
      </c>
      <c r="D20" s="35" t="str">
        <f aca="false">INDEX(EngagementData!$E$2:$E$121,MATCH(SMALL(EngagementData!$Y$2:$Y$121,2),EngagementData!$Y$2:$Y$121,0))</f>
        <v>Event Highlight</v>
      </c>
      <c r="E20" s="35" t="str">
        <f aca="false">INDEX(EngagementData!$D$2:$D$121,MATCH(SMALL(EngagementData!$Y$2:$Y$121,2),EngagementData!$Y$2:$Y$121,0))</f>
        <v>Story</v>
      </c>
      <c r="F20" s="39" t="n">
        <f aca="false">ROUND(SMALL(EngagementData!$P$2:$P$121,2),2)</f>
        <v>0.7</v>
      </c>
      <c r="G20" s="37" t="n">
        <f aca="false">INDEX(EngagementData!$I$2:$I$121,MATCH(SMALL(EngagementData!$Y$2:$Y$121,2),EngagementData!$Y$2:$Y$121,0))</f>
        <v>28986</v>
      </c>
      <c r="H20" s="40" t="n">
        <f aca="false">INDEX(EngagementData!$S$2:$S$121,MATCH(SMALL(EngagementData!$Y$2:$Y$121,2),EngagementData!$Y$2:$Y$121,0))</f>
        <v>6.2</v>
      </c>
    </row>
    <row r="21" customFormat="false" ht="15" hidden="false" customHeight="true" outlineLevel="0" collapsed="false">
      <c r="A21" s="35" t="n">
        <v>3</v>
      </c>
      <c r="B21" s="35" t="str">
        <f aca="false">INDEX(EngagementData!$A$2:$A$121,MATCH(SMALL(EngagementData!$Y$2:$Y$121,3),EngagementData!$Y$2:$Y$121,0))</f>
        <v>POST033</v>
      </c>
      <c r="C21" s="35" t="str">
        <f aca="false">INDEX(EngagementData!$B$2:$B$121,MATCH(SMALL(EngagementData!$Y$2:$Y$121,3),EngagementData!$Y$2:$Y$121,0))</f>
        <v>Instagram</v>
      </c>
      <c r="D21" s="35" t="str">
        <f aca="false">INDEX(EngagementData!$E$2:$E$121,MATCH(SMALL(EngagementData!$Y$2:$Y$121,3),EngagementData!$Y$2:$Y$121,0))</f>
        <v>Educational</v>
      </c>
      <c r="E21" s="35" t="str">
        <f aca="false">INDEX(EngagementData!$D$2:$D$121,MATCH(SMALL(EngagementData!$Y$2:$Y$121,3),EngagementData!$Y$2:$Y$121,0))</f>
        <v>Text Post</v>
      </c>
      <c r="F21" s="39" t="n">
        <f aca="false">ROUND(SMALL(EngagementData!$P$2:$P$121,3),2)</f>
        <v>0.84</v>
      </c>
      <c r="G21" s="37" t="n">
        <f aca="false">INDEX(EngagementData!$I$2:$I$121,MATCH(SMALL(EngagementData!$Y$2:$Y$121,3),EngagementData!$Y$2:$Y$121,0))</f>
        <v>20679</v>
      </c>
      <c r="H21" s="40" t="n">
        <f aca="false">INDEX(EngagementData!$S$2:$S$121,MATCH(SMALL(EngagementData!$Y$2:$Y$121,3),EngagementData!$Y$2:$Y$121,0))</f>
        <v>4.9</v>
      </c>
    </row>
    <row r="22" customFormat="false" ht="15" hidden="false" customHeight="true" outlineLevel="0" collapsed="false">
      <c r="A22" s="35" t="n">
        <v>4</v>
      </c>
      <c r="B22" s="35" t="str">
        <f aca="false">INDEX(EngagementData!$A$2:$A$121,MATCH(SMALL(EngagementData!$Y$2:$Y$121,4),EngagementData!$Y$2:$Y$121,0))</f>
        <v>POST063</v>
      </c>
      <c r="C22" s="35" t="str">
        <f aca="false">INDEX(EngagementData!$B$2:$B$121,MATCH(SMALL(EngagementData!$Y$2:$Y$121,4),EngagementData!$Y$2:$Y$121,0))</f>
        <v>LinkedIn</v>
      </c>
      <c r="D22" s="35" t="str">
        <f aca="false">INDEX(EngagementData!$E$2:$E$121,MATCH(SMALL(EngagementData!$Y$2:$Y$121,4),EngagementData!$Y$2:$Y$121,0))</f>
        <v>Event Highlight</v>
      </c>
      <c r="E22" s="35" t="str">
        <f aca="false">INDEX(EngagementData!$D$2:$D$121,MATCH(SMALL(EngagementData!$Y$2:$Y$121,4),EngagementData!$Y$2:$Y$121,0))</f>
        <v>Reel</v>
      </c>
      <c r="F22" s="39" t="n">
        <f aca="false">ROUND(SMALL(EngagementData!$P$2:$P$121,4),2)</f>
        <v>0.93</v>
      </c>
      <c r="G22" s="37" t="n">
        <f aca="false">INDEX(EngagementData!$I$2:$I$121,MATCH(SMALL(EngagementData!$Y$2:$Y$121,4),EngagementData!$Y$2:$Y$121,0))</f>
        <v>54226</v>
      </c>
      <c r="H22" s="40" t="n">
        <f aca="false">INDEX(EngagementData!$S$2:$S$121,MATCH(SMALL(EngagementData!$Y$2:$Y$121,4),EngagementData!$Y$2:$Y$121,0))</f>
        <v>8.7</v>
      </c>
    </row>
    <row r="23" customFormat="false" ht="15" hidden="false" customHeight="true" outlineLevel="0" collapsed="false">
      <c r="A23" s="35" t="n">
        <v>5</v>
      </c>
      <c r="B23" s="35" t="str">
        <f aca="false">INDEX(EngagementData!$A$2:$A$121,MATCH(SMALL(EngagementData!$Y$2:$Y$121,5),EngagementData!$Y$2:$Y$121,0))</f>
        <v>POST094</v>
      </c>
      <c r="C23" s="35" t="str">
        <f aca="false">INDEX(EngagementData!$B$2:$B$121,MATCH(SMALL(EngagementData!$Y$2:$Y$121,5),EngagementData!$Y$2:$Y$121,0))</f>
        <v>LinkedIn</v>
      </c>
      <c r="D23" s="35" t="str">
        <f aca="false">INDEX(EngagementData!$E$2:$E$121,MATCH(SMALL(EngagementData!$Y$2:$Y$121,5),EngagementData!$Y$2:$Y$121,0))</f>
        <v>Behind the Scenes</v>
      </c>
      <c r="E23" s="35" t="str">
        <f aca="false">INDEX(EngagementData!$D$2:$D$121,MATCH(SMALL(EngagementData!$Y$2:$Y$121,5),EngagementData!$Y$2:$Y$121,0))</f>
        <v>Reel</v>
      </c>
      <c r="F23" s="39" t="n">
        <f aca="false">ROUND(SMALL(EngagementData!$P$2:$P$121,5),2)</f>
        <v>0.99</v>
      </c>
      <c r="G23" s="37" t="n">
        <f aca="false">INDEX(EngagementData!$I$2:$I$121,MATCH(SMALL(EngagementData!$Y$2:$Y$121,5),EngagementData!$Y$2:$Y$121,0))</f>
        <v>70891</v>
      </c>
      <c r="H23" s="40" t="n">
        <f aca="false">INDEX(EngagementData!$S$2:$S$121,MATCH(SMALL(EngagementData!$Y$2:$Y$121,5),EngagementData!$Y$2:$Y$121,0))</f>
        <v>3.7</v>
      </c>
    </row>
    <row r="24" customFormat="false" ht="15" hidden="false" customHeight="true" outlineLevel="0" collapsed="false">
      <c r="A24" s="35" t="n">
        <v>6</v>
      </c>
      <c r="B24" s="35" t="str">
        <f aca="false">INDEX(EngagementData!$A$2:$A$121,MATCH(SMALL(EngagementData!$Y$2:$Y$121,6),EngagementData!$Y$2:$Y$121,0))</f>
        <v>POST054</v>
      </c>
      <c r="C24" s="35" t="str">
        <f aca="false">INDEX(EngagementData!$B$2:$B$121,MATCH(SMALL(EngagementData!$Y$2:$Y$121,6),EngagementData!$Y$2:$Y$121,0))</f>
        <v>Instagram</v>
      </c>
      <c r="D24" s="35" t="str">
        <f aca="false">INDEX(EngagementData!$E$2:$E$121,MATCH(SMALL(EngagementData!$Y$2:$Y$121,6),EngagementData!$Y$2:$Y$121,0))</f>
        <v>Promotional</v>
      </c>
      <c r="E24" s="35" t="str">
        <f aca="false">INDEX(EngagementData!$D$2:$D$121,MATCH(SMALL(EngagementData!$Y$2:$Y$121,6),EngagementData!$Y$2:$Y$121,0))</f>
        <v>Text Post</v>
      </c>
      <c r="F24" s="39" t="n">
        <f aca="false">ROUND(SMALL(EngagementData!$P$2:$P$121,6),2)</f>
        <v>1.22</v>
      </c>
      <c r="G24" s="37" t="n">
        <f aca="false">INDEX(EngagementData!$I$2:$I$121,MATCH(SMALL(EngagementData!$Y$2:$Y$121,6),EngagementData!$Y$2:$Y$121,0))</f>
        <v>17669</v>
      </c>
      <c r="H24" s="40" t="n">
        <f aca="false">INDEX(EngagementData!$S$2:$S$121,MATCH(SMALL(EngagementData!$Y$2:$Y$121,6),EngagementData!$Y$2:$Y$121,0))</f>
        <v>4.4</v>
      </c>
    </row>
    <row r="25" customFormat="false" ht="15" hidden="false" customHeight="true" outlineLevel="0" collapsed="false">
      <c r="A25" s="35" t="n">
        <v>7</v>
      </c>
      <c r="B25" s="35" t="str">
        <f aca="false">INDEX(EngagementData!$A$2:$A$121,MATCH(SMALL(EngagementData!$Y$2:$Y$121,7),EngagementData!$Y$2:$Y$121,0))</f>
        <v>POST061</v>
      </c>
      <c r="C25" s="35" t="str">
        <f aca="false">INDEX(EngagementData!$B$2:$B$121,MATCH(SMALL(EngagementData!$Y$2:$Y$121,7),EngagementData!$Y$2:$Y$121,0))</f>
        <v>Facebook</v>
      </c>
      <c r="D25" s="35" t="str">
        <f aca="false">INDEX(EngagementData!$E$2:$E$121,MATCH(SMALL(EngagementData!$Y$2:$Y$121,7),EngagementData!$Y$2:$Y$121,0))</f>
        <v>Industry News</v>
      </c>
      <c r="E25" s="35" t="str">
        <f aca="false">INDEX(EngagementData!$D$2:$D$121,MATCH(SMALL(EngagementData!$Y$2:$Y$121,7),EngagementData!$Y$2:$Y$121,0))</f>
        <v>Text Post</v>
      </c>
      <c r="F25" s="39" t="n">
        <f aca="false">ROUND(SMALL(EngagementData!$P$2:$P$121,7),2)</f>
        <v>1.46</v>
      </c>
      <c r="G25" s="37" t="n">
        <f aca="false">INDEX(EngagementData!$I$2:$I$121,MATCH(SMALL(EngagementData!$Y$2:$Y$121,7),EngagementData!$Y$2:$Y$121,0))</f>
        <v>11170</v>
      </c>
      <c r="H25" s="40" t="n">
        <f aca="false">INDEX(EngagementData!$S$2:$S$121,MATCH(SMALL(EngagementData!$Y$2:$Y$121,7),EngagementData!$Y$2:$Y$121,0))</f>
        <v>6.4</v>
      </c>
    </row>
    <row r="26" customFormat="false" ht="15" hidden="false" customHeight="true" outlineLevel="0" collapsed="false">
      <c r="A26" s="35" t="n">
        <v>8</v>
      </c>
      <c r="B26" s="35" t="str">
        <f aca="false">INDEX(EngagementData!$A$2:$A$121,MATCH(SMALL(EngagementData!$Y$2:$Y$121,8),EngagementData!$Y$2:$Y$121,0))</f>
        <v>POST120</v>
      </c>
      <c r="C26" s="35" t="str">
        <f aca="false">INDEX(EngagementData!$B$2:$B$121,MATCH(SMALL(EngagementData!$Y$2:$Y$121,8),EngagementData!$Y$2:$Y$121,0))</f>
        <v>Instagram</v>
      </c>
      <c r="D26" s="35" t="str">
        <f aca="false">INDEX(EngagementData!$E$2:$E$121,MATCH(SMALL(EngagementData!$Y$2:$Y$121,8),EngagementData!$Y$2:$Y$121,0))</f>
        <v>Motivational</v>
      </c>
      <c r="E26" s="35" t="str">
        <f aca="false">INDEX(EngagementData!$D$2:$D$121,MATCH(SMALL(EngagementData!$Y$2:$Y$121,8),EngagementData!$Y$2:$Y$121,0))</f>
        <v>Story</v>
      </c>
      <c r="F26" s="39" t="n">
        <f aca="false">ROUND(SMALL(EngagementData!$P$2:$P$121,8),2)</f>
        <v>1.55</v>
      </c>
      <c r="G26" s="37" t="n">
        <f aca="false">INDEX(EngagementData!$I$2:$I$121,MATCH(SMALL(EngagementData!$Y$2:$Y$121,8),EngagementData!$Y$2:$Y$121,0))</f>
        <v>21748</v>
      </c>
      <c r="H26" s="40" t="n">
        <f aca="false">INDEX(EngagementData!$S$2:$S$121,MATCH(SMALL(EngagementData!$Y$2:$Y$121,8),EngagementData!$Y$2:$Y$121,0))</f>
        <v>3.9</v>
      </c>
    </row>
    <row r="27" customFormat="false" ht="15" hidden="false" customHeight="true" outlineLevel="0" collapsed="false">
      <c r="A27" s="35" t="n">
        <v>9</v>
      </c>
      <c r="B27" s="35" t="str">
        <f aca="false">INDEX(EngagementData!$A$2:$A$121,MATCH(SMALL(EngagementData!$Y$2:$Y$121,9),EngagementData!$Y$2:$Y$121,0))</f>
        <v>POST057</v>
      </c>
      <c r="C27" s="35" t="str">
        <f aca="false">INDEX(EngagementData!$B$2:$B$121,MATCH(SMALL(EngagementData!$Y$2:$Y$121,9),EngagementData!$Y$2:$Y$121,0))</f>
        <v>Twitter/X</v>
      </c>
      <c r="D27" s="35" t="str">
        <f aca="false">INDEX(EngagementData!$E$2:$E$121,MATCH(SMALL(EngagementData!$Y$2:$Y$121,9),EngagementData!$Y$2:$Y$121,0))</f>
        <v>Educational</v>
      </c>
      <c r="E27" s="35" t="str">
        <f aca="false">INDEX(EngagementData!$D$2:$D$121,MATCH(SMALL(EngagementData!$Y$2:$Y$121,9),EngagementData!$Y$2:$Y$121,0))</f>
        <v>Carousel</v>
      </c>
      <c r="F27" s="39" t="n">
        <f aca="false">ROUND(SMALL(EngagementData!$P$2:$P$121,9),2)</f>
        <v>1.73</v>
      </c>
      <c r="G27" s="37" t="n">
        <f aca="false">INDEX(EngagementData!$I$2:$I$121,MATCH(SMALL(EngagementData!$Y$2:$Y$121,9),EngagementData!$Y$2:$Y$121,0))</f>
        <v>71602</v>
      </c>
      <c r="H27" s="40" t="n">
        <f aca="false">INDEX(EngagementData!$S$2:$S$121,MATCH(SMALL(EngagementData!$Y$2:$Y$121,9),EngagementData!$Y$2:$Y$121,0))</f>
        <v>4.9</v>
      </c>
    </row>
    <row r="28" customFormat="false" ht="15" hidden="false" customHeight="true" outlineLevel="0" collapsed="false">
      <c r="A28" s="35" t="n">
        <v>10</v>
      </c>
      <c r="B28" s="35" t="str">
        <f aca="false">INDEX(EngagementData!$A$2:$A$121,MATCH(SMALL(EngagementData!$Y$2:$Y$121,10),EngagementData!$Y$2:$Y$121,0))</f>
        <v>POST100</v>
      </c>
      <c r="C28" s="35" t="str">
        <f aca="false">INDEX(EngagementData!$B$2:$B$121,MATCH(SMALL(EngagementData!$Y$2:$Y$121,10),EngagementData!$Y$2:$Y$121,0))</f>
        <v>LinkedIn</v>
      </c>
      <c r="D28" s="35" t="str">
        <f aca="false">INDEX(EngagementData!$E$2:$E$121,MATCH(SMALL(EngagementData!$Y$2:$Y$121,10),EngagementData!$Y$2:$Y$121,0))</f>
        <v>Product Showcase</v>
      </c>
      <c r="E28" s="35" t="str">
        <f aca="false">INDEX(EngagementData!$D$2:$D$121,MATCH(SMALL(EngagementData!$Y$2:$Y$121,10),EngagementData!$Y$2:$Y$121,0))</f>
        <v>Image</v>
      </c>
      <c r="F28" s="39" t="n">
        <f aca="false">ROUND(SMALL(EngagementData!$P$2:$P$121,10),2)</f>
        <v>1.82</v>
      </c>
      <c r="G28" s="37" t="n">
        <f aca="false">INDEX(EngagementData!$I$2:$I$121,MATCH(SMALL(EngagementData!$Y$2:$Y$121,10),EngagementData!$Y$2:$Y$121,0))</f>
        <v>5502</v>
      </c>
      <c r="H28" s="40" t="n">
        <f aca="false">INDEX(EngagementData!$S$2:$S$121,MATCH(SMALL(EngagementData!$Y$2:$Y$121,10),EngagementData!$Y$2:$Y$121,0))</f>
        <v>6.1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2026-06-17T04:30:35Z</dcterms:created>
  <dc:creator>openpyxl</dc:creator>
  <dc:description/>
  <dc:language>en-US</dc:language>
  <cp:lastModifiedBy/>
  <dcterms:modified xsi:type="dcterms:W3CDTF">2026-06-17T04:38:54Z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